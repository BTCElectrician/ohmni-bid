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14"/>
  <workbookPr defaultThemeVersion="124226"/>
  <mc:AlternateContent xmlns:mc="http://schemas.openxmlformats.org/markup-compatibility/2006">
    <mc:Choice Requires="x15">
      <x15ac:absPath xmlns:x15ac="http://schemas.microsoft.com/office/spreadsheetml/2010/11/ac" url="/Users/collin/Desktop/"/>
    </mc:Choice>
  </mc:AlternateContent>
  <xr:revisionPtr revIDLastSave="0" documentId="8_{94F30A61-0E0E-7741-A75A-23FD4CB386FB}" xr6:coauthVersionLast="47" xr6:coauthVersionMax="47" xr10:uidLastSave="{00000000-0000-0000-0000-000000000000}"/>
  <bookViews>
    <workbookView xWindow="400" yWindow="940" windowWidth="34560" windowHeight="19740" activeTab="4" xr2:uid="{00000000-000D-0000-FFFF-FFFF00000000}"/>
  </bookViews>
  <sheets>
    <sheet name="basebid" sheetId="15" r:id="rId1"/>
    <sheet name="FEEDERS" sheetId="14" r:id="rId2"/>
    <sheet name="Copy" sheetId="17" r:id="rId3"/>
    <sheet name="Site" sheetId="13" r:id="rId4"/>
    <sheet name="PROPOSAL" sheetId="6" r:id="rId5"/>
  </sheets>
  <definedNames>
    <definedName name="_xlnm.Print_Area" localSheetId="4">PROPOSAL!$A$1:$G$75</definedName>
    <definedName name="_xlnm.Print_Area" localSheetId="3">Site!#REF!</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253" i="15" l="1"/>
  <c r="F253" i="15"/>
  <c r="I261" i="15"/>
  <c r="F261" i="15"/>
  <c r="I260" i="15"/>
  <c r="F260" i="15"/>
  <c r="I259" i="15"/>
  <c r="F259" i="15"/>
  <c r="I258" i="15"/>
  <c r="F258" i="15"/>
  <c r="R120" i="14"/>
  <c r="R119" i="14"/>
  <c r="R118" i="14"/>
  <c r="R117" i="14"/>
  <c r="R116" i="14"/>
  <c r="R115" i="14"/>
  <c r="R114" i="14"/>
  <c r="R113" i="14"/>
  <c r="R112" i="14"/>
  <c r="R111" i="14"/>
  <c r="R110" i="14"/>
  <c r="R109" i="14"/>
  <c r="R108" i="14"/>
  <c r="R101" i="14"/>
  <c r="R100" i="14"/>
  <c r="R99" i="14"/>
  <c r="R98" i="14"/>
  <c r="R97" i="14"/>
  <c r="R96" i="14"/>
  <c r="R95" i="14"/>
  <c r="R94" i="14"/>
  <c r="R93" i="14"/>
  <c r="R92" i="14"/>
  <c r="R91" i="14"/>
  <c r="R90" i="14"/>
  <c r="R89" i="14"/>
  <c r="R88" i="14"/>
  <c r="R87" i="14"/>
  <c r="R86" i="14"/>
  <c r="R85" i="14"/>
  <c r="R84" i="14"/>
  <c r="R83" i="14"/>
  <c r="R51" i="14"/>
  <c r="R50" i="14"/>
  <c r="R49" i="14"/>
  <c r="R48" i="14"/>
  <c r="R47" i="14"/>
  <c r="R46" i="14"/>
  <c r="R45" i="14"/>
  <c r="R44" i="14"/>
  <c r="R43" i="14"/>
  <c r="R42" i="14"/>
  <c r="R41" i="14"/>
  <c r="R40" i="14"/>
  <c r="R39" i="14"/>
  <c r="R38" i="14"/>
  <c r="R37" i="14"/>
  <c r="R36" i="14"/>
  <c r="R35" i="14"/>
  <c r="R34" i="14"/>
  <c r="R33" i="14"/>
  <c r="R32" i="14"/>
  <c r="R31" i="14"/>
  <c r="R30" i="14"/>
  <c r="R29" i="14"/>
  <c r="R28" i="14"/>
  <c r="R27" i="14"/>
  <c r="R26" i="14"/>
  <c r="R25" i="14"/>
  <c r="R24" i="14"/>
  <c r="R23" i="14"/>
  <c r="R22" i="14"/>
  <c r="R21" i="14"/>
  <c r="R20" i="14"/>
  <c r="R19" i="14"/>
  <c r="R18" i="14"/>
  <c r="R17" i="14"/>
  <c r="R16" i="14"/>
  <c r="R15" i="14"/>
  <c r="R14" i="14"/>
  <c r="R13" i="14"/>
  <c r="R12" i="14"/>
  <c r="R11" i="14"/>
  <c r="R10" i="14"/>
  <c r="R9" i="14"/>
  <c r="R8" i="14"/>
  <c r="J261" i="15"/>
  <c r="K261" i="15"/>
  <c r="J259" i="15"/>
  <c r="K259" i="15"/>
  <c r="J260" i="15"/>
  <c r="K260" i="15"/>
  <c r="J258" i="15"/>
  <c r="K258" i="15"/>
  <c r="F329" i="17"/>
  <c r="J321" i="17"/>
  <c r="K321" i="17"/>
  <c r="J320" i="17"/>
  <c r="K320" i="17"/>
  <c r="I320" i="17"/>
  <c r="F320" i="17"/>
  <c r="I319" i="17"/>
  <c r="F319" i="17"/>
  <c r="J319" i="17"/>
  <c r="K319" i="17"/>
  <c r="I318" i="17"/>
  <c r="I317" i="17"/>
  <c r="J317" i="17"/>
  <c r="K317" i="17"/>
  <c r="F317" i="17"/>
  <c r="I316" i="17"/>
  <c r="J316" i="17"/>
  <c r="K316" i="17"/>
  <c r="F316" i="17"/>
  <c r="I315" i="17"/>
  <c r="J315" i="17"/>
  <c r="K315" i="17"/>
  <c r="F315" i="17"/>
  <c r="K314" i="17"/>
  <c r="I314" i="17"/>
  <c r="J314" i="17"/>
  <c r="F314" i="17"/>
  <c r="J311" i="17"/>
  <c r="K311" i="17"/>
  <c r="I311" i="17"/>
  <c r="F311" i="17"/>
  <c r="I310" i="17"/>
  <c r="F310" i="17"/>
  <c r="J310" i="17"/>
  <c r="K310" i="17"/>
  <c r="I309" i="17"/>
  <c r="F309" i="17"/>
  <c r="J309" i="17"/>
  <c r="K309" i="17"/>
  <c r="J308" i="17"/>
  <c r="K308" i="17"/>
  <c r="I308" i="17"/>
  <c r="F308" i="17"/>
  <c r="I307" i="17"/>
  <c r="F307" i="17"/>
  <c r="J307" i="17"/>
  <c r="K307" i="17"/>
  <c r="I306" i="17"/>
  <c r="F306" i="17"/>
  <c r="J306" i="17"/>
  <c r="K306" i="17"/>
  <c r="J305" i="17"/>
  <c r="K305" i="17"/>
  <c r="I305" i="17"/>
  <c r="F305" i="17"/>
  <c r="I304" i="17"/>
  <c r="F304" i="17"/>
  <c r="J304" i="17"/>
  <c r="K304" i="17"/>
  <c r="I303" i="17"/>
  <c r="J303" i="17"/>
  <c r="K303" i="17"/>
  <c r="F303" i="17"/>
  <c r="J302" i="17"/>
  <c r="K302" i="17"/>
  <c r="I302" i="17"/>
  <c r="F302" i="17"/>
  <c r="I301" i="17"/>
  <c r="F301" i="17"/>
  <c r="J301" i="17"/>
  <c r="I298" i="17"/>
  <c r="J298" i="17"/>
  <c r="K298" i="17"/>
  <c r="F298" i="17"/>
  <c r="I297" i="17"/>
  <c r="J297" i="17"/>
  <c r="B296" i="17"/>
  <c r="F297" i="17"/>
  <c r="J294" i="17"/>
  <c r="K294" i="17"/>
  <c r="I294" i="17"/>
  <c r="F294" i="17"/>
  <c r="I293" i="17"/>
  <c r="F293" i="17"/>
  <c r="J293" i="17"/>
  <c r="K293" i="17"/>
  <c r="G292" i="17"/>
  <c r="I292" i="17"/>
  <c r="G291" i="17"/>
  <c r="I291" i="17"/>
  <c r="G290" i="17"/>
  <c r="I290" i="17"/>
  <c r="G289" i="17"/>
  <c r="I289" i="17"/>
  <c r="G288" i="17"/>
  <c r="I288" i="17"/>
  <c r="I285" i="17"/>
  <c r="J285" i="17"/>
  <c r="K285" i="17"/>
  <c r="F285" i="17"/>
  <c r="I284" i="17"/>
  <c r="J284" i="17"/>
  <c r="K284" i="17"/>
  <c r="F284" i="17"/>
  <c r="I283" i="17"/>
  <c r="J283" i="17"/>
  <c r="K283" i="17"/>
  <c r="F283" i="17"/>
  <c r="I282" i="17"/>
  <c r="J282" i="17"/>
  <c r="K282" i="17"/>
  <c r="F282" i="17"/>
  <c r="K281" i="17"/>
  <c r="I281" i="17"/>
  <c r="J281" i="17"/>
  <c r="F281" i="17"/>
  <c r="I280" i="17"/>
  <c r="J280" i="17"/>
  <c r="K280" i="17"/>
  <c r="F280" i="17"/>
  <c r="I279" i="17"/>
  <c r="J279" i="17"/>
  <c r="K279" i="17"/>
  <c r="F279" i="17"/>
  <c r="I278" i="17"/>
  <c r="J278" i="17"/>
  <c r="K278" i="17"/>
  <c r="F278" i="17"/>
  <c r="I277" i="17"/>
  <c r="J277" i="17"/>
  <c r="K277" i="17"/>
  <c r="F277" i="17"/>
  <c r="I276" i="17"/>
  <c r="J276" i="17"/>
  <c r="K276" i="17"/>
  <c r="F276" i="17"/>
  <c r="K275" i="17"/>
  <c r="I275" i="17"/>
  <c r="J275" i="17"/>
  <c r="F275" i="17"/>
  <c r="I274" i="17"/>
  <c r="J274" i="17"/>
  <c r="K274" i="17"/>
  <c r="F274" i="17"/>
  <c r="I273" i="17"/>
  <c r="J273" i="17"/>
  <c r="K273" i="17"/>
  <c r="F273" i="17"/>
  <c r="I272" i="17"/>
  <c r="J272" i="17"/>
  <c r="K272" i="17"/>
  <c r="F272" i="17"/>
  <c r="I271" i="17"/>
  <c r="J271" i="17"/>
  <c r="K271" i="17"/>
  <c r="F271" i="17"/>
  <c r="J270" i="17"/>
  <c r="K270" i="17"/>
  <c r="I270" i="17"/>
  <c r="F270" i="17"/>
  <c r="I269" i="17"/>
  <c r="J269" i="17"/>
  <c r="K269" i="17"/>
  <c r="F269" i="17"/>
  <c r="I268" i="17"/>
  <c r="J268" i="17"/>
  <c r="K268" i="17"/>
  <c r="F268" i="17"/>
  <c r="J267" i="17"/>
  <c r="K267" i="17"/>
  <c r="I267" i="17"/>
  <c r="F267" i="17"/>
  <c r="I266" i="17"/>
  <c r="J266" i="17"/>
  <c r="K266" i="17"/>
  <c r="F266" i="17"/>
  <c r="I265" i="17"/>
  <c r="J265" i="17"/>
  <c r="K265" i="17"/>
  <c r="F265" i="17"/>
  <c r="J264" i="17"/>
  <c r="K264" i="17"/>
  <c r="I264" i="17"/>
  <c r="F264" i="17"/>
  <c r="I263" i="17"/>
  <c r="J263" i="17"/>
  <c r="K263" i="17"/>
  <c r="F263" i="17"/>
  <c r="I262" i="17"/>
  <c r="J262" i="17"/>
  <c r="K262" i="17"/>
  <c r="F262" i="17"/>
  <c r="J261" i="17"/>
  <c r="K261" i="17"/>
  <c r="I261" i="17"/>
  <c r="F261" i="17"/>
  <c r="I260" i="17"/>
  <c r="J260" i="17"/>
  <c r="K260" i="17"/>
  <c r="F260" i="17"/>
  <c r="I259" i="17"/>
  <c r="J259" i="17"/>
  <c r="K259" i="17"/>
  <c r="F259" i="17"/>
  <c r="J258" i="17"/>
  <c r="K258" i="17"/>
  <c r="I258" i="17"/>
  <c r="F258" i="17"/>
  <c r="I257" i="17"/>
  <c r="J257" i="17"/>
  <c r="K257" i="17"/>
  <c r="F257" i="17"/>
  <c r="I256" i="17"/>
  <c r="J256" i="17"/>
  <c r="K256" i="17"/>
  <c r="F256" i="17"/>
  <c r="J255" i="17"/>
  <c r="K255" i="17"/>
  <c r="I255" i="17"/>
  <c r="F255" i="17"/>
  <c r="I254" i="17"/>
  <c r="J254" i="17"/>
  <c r="K254" i="17"/>
  <c r="F254" i="17"/>
  <c r="I253" i="17"/>
  <c r="J253" i="17"/>
  <c r="K253" i="17"/>
  <c r="F253" i="17"/>
  <c r="J252" i="17"/>
  <c r="K252" i="17"/>
  <c r="I252" i="17"/>
  <c r="F252" i="17"/>
  <c r="I251" i="17"/>
  <c r="J251" i="17"/>
  <c r="K251" i="17"/>
  <c r="F251" i="17"/>
  <c r="I250" i="17"/>
  <c r="J250" i="17"/>
  <c r="K250" i="17"/>
  <c r="F250" i="17"/>
  <c r="J249" i="17"/>
  <c r="K249" i="17"/>
  <c r="I249" i="17"/>
  <c r="F249" i="17"/>
  <c r="I246" i="17"/>
  <c r="J246" i="17"/>
  <c r="K246" i="17"/>
  <c r="F246" i="17"/>
  <c r="J245" i="17"/>
  <c r="K245" i="17"/>
  <c r="I245" i="17"/>
  <c r="F245" i="17"/>
  <c r="G244" i="17"/>
  <c r="I244" i="17"/>
  <c r="J243" i="17"/>
  <c r="K243" i="17"/>
  <c r="I243" i="17"/>
  <c r="F243" i="17"/>
  <c r="M242" i="17"/>
  <c r="M243" i="17"/>
  <c r="M244" i="17"/>
  <c r="D233" i="17"/>
  <c r="F233" i="17"/>
  <c r="I242" i="17"/>
  <c r="J242" i="17"/>
  <c r="K242" i="17"/>
  <c r="F242" i="17"/>
  <c r="M241" i="17"/>
  <c r="I241" i="17"/>
  <c r="F241" i="17"/>
  <c r="J241" i="17"/>
  <c r="K241" i="17"/>
  <c r="M240" i="17"/>
  <c r="J240" i="17"/>
  <c r="K240" i="17"/>
  <c r="I240" i="17"/>
  <c r="F240" i="17"/>
  <c r="M239" i="17"/>
  <c r="I239" i="17"/>
  <c r="J239" i="17"/>
  <c r="K239" i="17"/>
  <c r="F239" i="17"/>
  <c r="M238" i="17"/>
  <c r="I238" i="17"/>
  <c r="J238" i="17"/>
  <c r="K238" i="17"/>
  <c r="F238" i="17"/>
  <c r="M237" i="17"/>
  <c r="J237" i="17"/>
  <c r="K237" i="17"/>
  <c r="I237" i="17"/>
  <c r="F237" i="17"/>
  <c r="M236" i="17"/>
  <c r="I236" i="17"/>
  <c r="J236" i="17"/>
  <c r="K236" i="17"/>
  <c r="F236" i="17"/>
  <c r="M235" i="17"/>
  <c r="I235" i="17"/>
  <c r="F235" i="17"/>
  <c r="J235" i="17"/>
  <c r="K235" i="17"/>
  <c r="M234" i="17"/>
  <c r="J234" i="17"/>
  <c r="K234" i="17"/>
  <c r="I234" i="17"/>
  <c r="F234" i="17"/>
  <c r="I233" i="17"/>
  <c r="I230" i="17"/>
  <c r="F230" i="17"/>
  <c r="I229" i="17"/>
  <c r="J229" i="17"/>
  <c r="K229" i="17"/>
  <c r="F229" i="17"/>
  <c r="J228" i="17"/>
  <c r="K228" i="17"/>
  <c r="I228" i="17"/>
  <c r="F228" i="17"/>
  <c r="I227" i="17"/>
  <c r="F227" i="17"/>
  <c r="I226" i="17"/>
  <c r="J226" i="17"/>
  <c r="K226" i="17"/>
  <c r="F226" i="17"/>
  <c r="J225" i="17"/>
  <c r="K225" i="17"/>
  <c r="I225" i="17"/>
  <c r="F225" i="17"/>
  <c r="I224" i="17"/>
  <c r="J224" i="17"/>
  <c r="K224" i="17"/>
  <c r="F224" i="17"/>
  <c r="K223" i="17"/>
  <c r="I223" i="17"/>
  <c r="J223" i="17"/>
  <c r="F223" i="17"/>
  <c r="I222" i="17"/>
  <c r="J222" i="17"/>
  <c r="K222" i="17"/>
  <c r="F222" i="17"/>
  <c r="I221" i="17"/>
  <c r="F221" i="17"/>
  <c r="J220" i="17"/>
  <c r="K220" i="17"/>
  <c r="I220" i="17"/>
  <c r="F220" i="17"/>
  <c r="K219" i="17"/>
  <c r="I219" i="17"/>
  <c r="J219" i="17"/>
  <c r="F219" i="17"/>
  <c r="I218" i="17"/>
  <c r="F218" i="17"/>
  <c r="J218" i="17"/>
  <c r="K218" i="17"/>
  <c r="M217" i="17"/>
  <c r="J217" i="17"/>
  <c r="K217" i="17"/>
  <c r="I217" i="17"/>
  <c r="F217" i="17"/>
  <c r="M216" i="17"/>
  <c r="I216" i="17"/>
  <c r="J216" i="17"/>
  <c r="K216" i="17"/>
  <c r="F216" i="17"/>
  <c r="M215" i="17"/>
  <c r="I215" i="17"/>
  <c r="J215" i="17"/>
  <c r="K215" i="17"/>
  <c r="F215" i="17"/>
  <c r="M214" i="17"/>
  <c r="J214" i="17"/>
  <c r="K214" i="17"/>
  <c r="I214" i="17"/>
  <c r="F214" i="17"/>
  <c r="M213" i="17"/>
  <c r="I213" i="17"/>
  <c r="J213" i="17"/>
  <c r="K213" i="17"/>
  <c r="F213" i="17"/>
  <c r="M212" i="17"/>
  <c r="I212" i="17"/>
  <c r="F212" i="17"/>
  <c r="J212" i="17"/>
  <c r="K212" i="17"/>
  <c r="M211" i="17"/>
  <c r="J211" i="17"/>
  <c r="K211" i="17"/>
  <c r="I211" i="17"/>
  <c r="F211" i="17"/>
  <c r="M210" i="17"/>
  <c r="I210" i="17"/>
  <c r="J210" i="17"/>
  <c r="K210" i="17"/>
  <c r="F210" i="17"/>
  <c r="M209" i="17"/>
  <c r="I209" i="17"/>
  <c r="J209" i="17"/>
  <c r="K209" i="17"/>
  <c r="F209" i="17"/>
  <c r="M208" i="17"/>
  <c r="J208" i="17"/>
  <c r="K208" i="17"/>
  <c r="I208" i="17"/>
  <c r="F208" i="17"/>
  <c r="M207" i="17"/>
  <c r="I207" i="17"/>
  <c r="J207" i="17"/>
  <c r="K207" i="17"/>
  <c r="F207" i="17"/>
  <c r="M206" i="17"/>
  <c r="I206" i="17"/>
  <c r="F206" i="17"/>
  <c r="J206" i="17"/>
  <c r="K206" i="17"/>
  <c r="M205" i="17"/>
  <c r="J205" i="17"/>
  <c r="K205" i="17"/>
  <c r="I205" i="17"/>
  <c r="F205" i="17"/>
  <c r="M204" i="17"/>
  <c r="I204" i="17"/>
  <c r="J204" i="17"/>
  <c r="K204" i="17"/>
  <c r="F204" i="17"/>
  <c r="M203" i="17"/>
  <c r="I203" i="17"/>
  <c r="J203" i="17"/>
  <c r="K203" i="17"/>
  <c r="F203" i="17"/>
  <c r="M202" i="17"/>
  <c r="J202" i="17"/>
  <c r="K202" i="17"/>
  <c r="I202" i="17"/>
  <c r="F202" i="17"/>
  <c r="M201" i="17"/>
  <c r="I201" i="17"/>
  <c r="J201" i="17"/>
  <c r="K201" i="17"/>
  <c r="F201" i="17"/>
  <c r="M200" i="17"/>
  <c r="I200" i="17"/>
  <c r="F200" i="17"/>
  <c r="J200" i="17"/>
  <c r="K200" i="17"/>
  <c r="M199" i="17"/>
  <c r="J199" i="17"/>
  <c r="K199" i="17"/>
  <c r="I199" i="17"/>
  <c r="F199" i="17"/>
  <c r="M198" i="17"/>
  <c r="I198" i="17"/>
  <c r="J198" i="17"/>
  <c r="K198" i="17"/>
  <c r="F198" i="17"/>
  <c r="M197" i="17"/>
  <c r="I197" i="17"/>
  <c r="J197" i="17"/>
  <c r="K197" i="17"/>
  <c r="F197" i="17"/>
  <c r="M196" i="17"/>
  <c r="J196" i="17"/>
  <c r="K196" i="17"/>
  <c r="I196" i="17"/>
  <c r="F196" i="17"/>
  <c r="M195" i="17"/>
  <c r="I195" i="17"/>
  <c r="J195" i="17"/>
  <c r="K195" i="17"/>
  <c r="F195" i="17"/>
  <c r="M194" i="17"/>
  <c r="M218" i="17"/>
  <c r="M219" i="17"/>
  <c r="M220" i="17"/>
  <c r="D192" i="17"/>
  <c r="F192" i="17"/>
  <c r="I194" i="17"/>
  <c r="F194" i="17"/>
  <c r="J194" i="17"/>
  <c r="K194" i="17"/>
  <c r="M193" i="17"/>
  <c r="J193" i="17"/>
  <c r="K193" i="17"/>
  <c r="I193" i="17"/>
  <c r="F193" i="17"/>
  <c r="I192" i="17"/>
  <c r="G189" i="17"/>
  <c r="I189" i="17"/>
  <c r="I188" i="17"/>
  <c r="J188" i="17"/>
  <c r="K188" i="17"/>
  <c r="F188" i="17"/>
  <c r="I187" i="17"/>
  <c r="G187" i="17"/>
  <c r="I186" i="17"/>
  <c r="F186" i="17"/>
  <c r="G185" i="17"/>
  <c r="I185" i="17"/>
  <c r="I184" i="17"/>
  <c r="F184" i="17"/>
  <c r="J184" i="17"/>
  <c r="K184" i="17"/>
  <c r="I183" i="17"/>
  <c r="G183" i="17"/>
  <c r="I182" i="17"/>
  <c r="F182" i="17"/>
  <c r="I181" i="17"/>
  <c r="G181" i="17"/>
  <c r="K180" i="17"/>
  <c r="I180" i="17"/>
  <c r="J180" i="17"/>
  <c r="F180" i="17"/>
  <c r="G179" i="17"/>
  <c r="I179" i="17"/>
  <c r="J178" i="17"/>
  <c r="K178" i="17"/>
  <c r="I178" i="17"/>
  <c r="F178" i="17"/>
  <c r="I177" i="17"/>
  <c r="G177" i="17"/>
  <c r="I176" i="17"/>
  <c r="F176" i="17"/>
  <c r="G175" i="17"/>
  <c r="I175" i="17"/>
  <c r="I174" i="17"/>
  <c r="F174" i="17"/>
  <c r="G173" i="17"/>
  <c r="I173" i="17"/>
  <c r="J172" i="17"/>
  <c r="K172" i="17"/>
  <c r="I172" i="17"/>
  <c r="F172" i="17"/>
  <c r="I171" i="17"/>
  <c r="J171" i="17"/>
  <c r="K171" i="17"/>
  <c r="F171" i="17"/>
  <c r="K170" i="17"/>
  <c r="I170" i="17"/>
  <c r="J170" i="17"/>
  <c r="F170" i="17"/>
  <c r="J169" i="17"/>
  <c r="K169" i="17"/>
  <c r="I169" i="17"/>
  <c r="F169" i="17"/>
  <c r="I168" i="17"/>
  <c r="J168" i="17"/>
  <c r="K168" i="17"/>
  <c r="F168" i="17"/>
  <c r="K167" i="17"/>
  <c r="I167" i="17"/>
  <c r="J167" i="17"/>
  <c r="F167" i="17"/>
  <c r="J166" i="17"/>
  <c r="K166" i="17"/>
  <c r="I166" i="17"/>
  <c r="F166" i="17"/>
  <c r="I165" i="17"/>
  <c r="J165" i="17"/>
  <c r="K165" i="17"/>
  <c r="F165" i="17"/>
  <c r="K164" i="17"/>
  <c r="I164" i="17"/>
  <c r="J164" i="17"/>
  <c r="F164" i="17"/>
  <c r="J163" i="17"/>
  <c r="K163" i="17"/>
  <c r="I163" i="17"/>
  <c r="F163" i="17"/>
  <c r="I162" i="17"/>
  <c r="J162" i="17"/>
  <c r="K162" i="17"/>
  <c r="F162" i="17"/>
  <c r="K161" i="17"/>
  <c r="I161" i="17"/>
  <c r="J161" i="17"/>
  <c r="F161" i="17"/>
  <c r="J160" i="17"/>
  <c r="I160" i="17"/>
  <c r="F160" i="17"/>
  <c r="G157" i="17"/>
  <c r="I157" i="17"/>
  <c r="G156" i="17"/>
  <c r="I156" i="17"/>
  <c r="G155" i="17"/>
  <c r="I155" i="17"/>
  <c r="G154" i="17"/>
  <c r="I154" i="17"/>
  <c r="G153" i="17"/>
  <c r="I153" i="17"/>
  <c r="G152" i="17"/>
  <c r="I152" i="17"/>
  <c r="G151" i="17"/>
  <c r="I151" i="17"/>
  <c r="G150" i="17"/>
  <c r="I150" i="17"/>
  <c r="I149" i="17"/>
  <c r="F149" i="17"/>
  <c r="J149" i="17"/>
  <c r="K149" i="17"/>
  <c r="J148" i="17"/>
  <c r="K148" i="17"/>
  <c r="I148" i="17"/>
  <c r="F148" i="17"/>
  <c r="I147" i="17"/>
  <c r="F147" i="17"/>
  <c r="J147" i="17"/>
  <c r="K147" i="17"/>
  <c r="I146" i="17"/>
  <c r="J146" i="17"/>
  <c r="K146" i="17"/>
  <c r="F146" i="17"/>
  <c r="J145" i="17"/>
  <c r="K145" i="17"/>
  <c r="I145" i="17"/>
  <c r="F145" i="17"/>
  <c r="I144" i="17"/>
  <c r="F144" i="17"/>
  <c r="J144" i="17"/>
  <c r="K144" i="17"/>
  <c r="G143" i="17"/>
  <c r="I143" i="17"/>
  <c r="G142" i="17"/>
  <c r="I142" i="17"/>
  <c r="G141" i="17"/>
  <c r="I141" i="17"/>
  <c r="I140" i="17"/>
  <c r="G140" i="17"/>
  <c r="I139" i="17"/>
  <c r="F139" i="17"/>
  <c r="J139" i="17"/>
  <c r="K139" i="17"/>
  <c r="G138" i="17"/>
  <c r="I138" i="17"/>
  <c r="G137" i="17"/>
  <c r="I137" i="17"/>
  <c r="I136" i="17"/>
  <c r="J136" i="17"/>
  <c r="K136" i="17"/>
  <c r="F136" i="17"/>
  <c r="J135" i="17"/>
  <c r="K135" i="17"/>
  <c r="I135" i="17"/>
  <c r="F135" i="17"/>
  <c r="I134" i="17"/>
  <c r="J134" i="17"/>
  <c r="K134" i="17"/>
  <c r="F134" i="17"/>
  <c r="I133" i="17"/>
  <c r="F133" i="17"/>
  <c r="J133" i="17"/>
  <c r="K133" i="17"/>
  <c r="I132" i="17"/>
  <c r="F132" i="17"/>
  <c r="J132" i="17"/>
  <c r="K132" i="17"/>
  <c r="J131" i="17"/>
  <c r="K131" i="17"/>
  <c r="I131" i="17"/>
  <c r="F131" i="17"/>
  <c r="I130" i="17"/>
  <c r="J130" i="17"/>
  <c r="K130" i="17"/>
  <c r="F130" i="17"/>
  <c r="J129" i="17"/>
  <c r="K129" i="17"/>
  <c r="I129" i="17"/>
  <c r="F129" i="17"/>
  <c r="I128" i="17"/>
  <c r="G128" i="17"/>
  <c r="G127" i="17"/>
  <c r="I127" i="17"/>
  <c r="I126" i="17"/>
  <c r="G126" i="17"/>
  <c r="I125" i="17"/>
  <c r="F125" i="17"/>
  <c r="J125" i="17"/>
  <c r="K125" i="17"/>
  <c r="I124" i="17"/>
  <c r="J124" i="17"/>
  <c r="K124" i="17"/>
  <c r="F124" i="17"/>
  <c r="K123" i="17"/>
  <c r="J123" i="17"/>
  <c r="I123" i="17"/>
  <c r="F123" i="17"/>
  <c r="I122" i="17"/>
  <c r="J122" i="17"/>
  <c r="K122" i="17"/>
  <c r="F122" i="17"/>
  <c r="I121" i="17"/>
  <c r="F121" i="17"/>
  <c r="J121" i="17"/>
  <c r="K121" i="17"/>
  <c r="G120" i="17"/>
  <c r="I120" i="17"/>
  <c r="G119" i="17"/>
  <c r="I119" i="17"/>
  <c r="J118" i="17"/>
  <c r="K118" i="17"/>
  <c r="I118" i="17"/>
  <c r="F118" i="17"/>
  <c r="I117" i="17"/>
  <c r="F117" i="17"/>
  <c r="J117" i="17"/>
  <c r="K117" i="17"/>
  <c r="I116" i="17"/>
  <c r="J116" i="17"/>
  <c r="K116" i="17"/>
  <c r="F116" i="17"/>
  <c r="I115" i="17"/>
  <c r="J115" i="17"/>
  <c r="K115" i="17"/>
  <c r="F115" i="17"/>
  <c r="I114" i="17"/>
  <c r="J114" i="17"/>
  <c r="K114" i="17"/>
  <c r="F114" i="17"/>
  <c r="I113" i="17"/>
  <c r="G113" i="17"/>
  <c r="G112" i="17"/>
  <c r="I112" i="17"/>
  <c r="I111" i="17"/>
  <c r="J111" i="17"/>
  <c r="K111" i="17"/>
  <c r="F111" i="17"/>
  <c r="I110" i="17"/>
  <c r="J110" i="17"/>
  <c r="K110" i="17"/>
  <c r="F110" i="17"/>
  <c r="I109" i="17"/>
  <c r="J109" i="17"/>
  <c r="K109" i="17"/>
  <c r="F109" i="17"/>
  <c r="G108" i="17"/>
  <c r="I108" i="17"/>
  <c r="I107" i="17"/>
  <c r="G107" i="17"/>
  <c r="I106" i="17"/>
  <c r="J106" i="17"/>
  <c r="K106" i="17"/>
  <c r="F106" i="17"/>
  <c r="I105" i="17"/>
  <c r="J105" i="17"/>
  <c r="K105" i="17"/>
  <c r="F105" i="17"/>
  <c r="I104" i="17"/>
  <c r="J104" i="17"/>
  <c r="K104" i="17"/>
  <c r="F104" i="17"/>
  <c r="K103" i="17"/>
  <c r="I103" i="17"/>
  <c r="J103" i="17"/>
  <c r="F103" i="17"/>
  <c r="I102" i="17"/>
  <c r="G102" i="17"/>
  <c r="I101" i="17"/>
  <c r="F101" i="17"/>
  <c r="I100" i="17"/>
  <c r="F100" i="17"/>
  <c r="I99" i="17"/>
  <c r="G99" i="17"/>
  <c r="I98" i="17"/>
  <c r="F98" i="17"/>
  <c r="I97" i="17"/>
  <c r="F97" i="17"/>
  <c r="I96" i="17"/>
  <c r="G96" i="17"/>
  <c r="I95" i="17"/>
  <c r="F95" i="17"/>
  <c r="G94" i="17"/>
  <c r="I94" i="17"/>
  <c r="I93" i="17"/>
  <c r="G93" i="17"/>
  <c r="I92" i="17"/>
  <c r="J92" i="17"/>
  <c r="K92" i="17"/>
  <c r="F92" i="17"/>
  <c r="G91" i="17"/>
  <c r="I91" i="17"/>
  <c r="I90" i="17"/>
  <c r="G90" i="17"/>
  <c r="I89" i="17"/>
  <c r="J89" i="17"/>
  <c r="K89" i="17"/>
  <c r="F89" i="17"/>
  <c r="G88" i="17"/>
  <c r="I88" i="17"/>
  <c r="I87" i="17"/>
  <c r="G87" i="17"/>
  <c r="I86" i="17"/>
  <c r="F86" i="17"/>
  <c r="I85" i="17"/>
  <c r="G85" i="17"/>
  <c r="G84" i="17"/>
  <c r="I84" i="17"/>
  <c r="G83" i="17"/>
  <c r="I83" i="17"/>
  <c r="I82" i="17"/>
  <c r="G82" i="17"/>
  <c r="I81" i="17"/>
  <c r="F81" i="17"/>
  <c r="I80" i="17"/>
  <c r="F80" i="17"/>
  <c r="G79" i="17"/>
  <c r="I79" i="17"/>
  <c r="G78" i="17"/>
  <c r="I78" i="17"/>
  <c r="I77" i="17"/>
  <c r="F77" i="17"/>
  <c r="G76" i="17"/>
  <c r="I76" i="17"/>
  <c r="G75" i="17"/>
  <c r="I75" i="17"/>
  <c r="I74" i="17"/>
  <c r="F74" i="17"/>
  <c r="I73" i="17"/>
  <c r="G73" i="17"/>
  <c r="I72" i="17"/>
  <c r="G72" i="17"/>
  <c r="I71" i="17"/>
  <c r="F71" i="17"/>
  <c r="I70" i="17"/>
  <c r="G70" i="17"/>
  <c r="I69" i="17"/>
  <c r="G69" i="17"/>
  <c r="I68" i="17"/>
  <c r="F68" i="17"/>
  <c r="G67" i="17"/>
  <c r="I67" i="17"/>
  <c r="G66" i="17"/>
  <c r="I66" i="17"/>
  <c r="G65" i="17"/>
  <c r="I65" i="17"/>
  <c r="G64" i="17"/>
  <c r="I64" i="17"/>
  <c r="I63" i="17"/>
  <c r="F63" i="17"/>
  <c r="G62" i="17"/>
  <c r="I62" i="17"/>
  <c r="G61" i="17"/>
  <c r="I61" i="17"/>
  <c r="I60" i="17"/>
  <c r="F60" i="17"/>
  <c r="I59" i="17"/>
  <c r="G59" i="17"/>
  <c r="I58" i="17"/>
  <c r="G58" i="17"/>
  <c r="I57" i="17"/>
  <c r="F57" i="17"/>
  <c r="I56" i="17"/>
  <c r="G56" i="17"/>
  <c r="I55" i="17"/>
  <c r="G55" i="17"/>
  <c r="I54" i="17"/>
  <c r="F54" i="17"/>
  <c r="I53" i="17"/>
  <c r="G53" i="17"/>
  <c r="I52" i="17"/>
  <c r="G52" i="17"/>
  <c r="I51" i="17"/>
  <c r="F51" i="17"/>
  <c r="I50" i="17"/>
  <c r="G50" i="17"/>
  <c r="I49" i="17"/>
  <c r="G49" i="17"/>
  <c r="G48" i="17"/>
  <c r="I48" i="17"/>
  <c r="I47" i="17"/>
  <c r="G47" i="17"/>
  <c r="I46" i="17"/>
  <c r="J46" i="17"/>
  <c r="K46" i="17"/>
  <c r="F46" i="17"/>
  <c r="G45" i="17"/>
  <c r="I45" i="17"/>
  <c r="I44" i="17"/>
  <c r="G44" i="17"/>
  <c r="I43" i="17"/>
  <c r="J43" i="17"/>
  <c r="K43" i="17"/>
  <c r="F43" i="17"/>
  <c r="G42" i="17"/>
  <c r="I42" i="17"/>
  <c r="I41" i="17"/>
  <c r="G41" i="17"/>
  <c r="I40" i="17"/>
  <c r="G40" i="17"/>
  <c r="I39" i="17"/>
  <c r="F39" i="17"/>
  <c r="I38" i="17"/>
  <c r="G38" i="17"/>
  <c r="I37" i="17"/>
  <c r="G37" i="17"/>
  <c r="I36" i="17"/>
  <c r="F36" i="17"/>
  <c r="G35" i="17"/>
  <c r="I35" i="17"/>
  <c r="G34" i="17"/>
  <c r="I34" i="17"/>
  <c r="I33" i="17"/>
  <c r="F33" i="17"/>
  <c r="G32" i="17"/>
  <c r="I32" i="17"/>
  <c r="G31" i="17"/>
  <c r="I31" i="17"/>
  <c r="I30" i="17"/>
  <c r="F30" i="17"/>
  <c r="I29" i="17"/>
  <c r="G29" i="17"/>
  <c r="I28" i="17"/>
  <c r="G28" i="17"/>
  <c r="I27" i="17"/>
  <c r="F27" i="17"/>
  <c r="I26" i="17"/>
  <c r="G26" i="17"/>
  <c r="I25" i="17"/>
  <c r="G25" i="17"/>
  <c r="I24" i="17"/>
  <c r="F24" i="17"/>
  <c r="G23" i="17"/>
  <c r="I23" i="17"/>
  <c r="G22" i="17"/>
  <c r="I22" i="17"/>
  <c r="I21" i="17"/>
  <c r="F21" i="17"/>
  <c r="G20" i="17"/>
  <c r="I20" i="17"/>
  <c r="I19" i="17"/>
  <c r="G19" i="17"/>
  <c r="I18" i="17"/>
  <c r="J18" i="17"/>
  <c r="K18" i="17"/>
  <c r="F18" i="17"/>
  <c r="I17" i="17"/>
  <c r="J17" i="17"/>
  <c r="K17" i="17"/>
  <c r="F17" i="17"/>
  <c r="I16" i="17"/>
  <c r="F16" i="17"/>
  <c r="K15" i="17"/>
  <c r="I13" i="17"/>
  <c r="F13" i="17"/>
  <c r="I12" i="17"/>
  <c r="G12" i="17"/>
  <c r="F12" i="17"/>
  <c r="D12" i="17"/>
  <c r="G244" i="15"/>
  <c r="J81" i="17"/>
  <c r="K81" i="17"/>
  <c r="J95" i="17"/>
  <c r="K95" i="17"/>
  <c r="J98" i="17"/>
  <c r="K98" i="17"/>
  <c r="J101" i="17"/>
  <c r="K101" i="17"/>
  <c r="J174" i="17"/>
  <c r="K174" i="17"/>
  <c r="J33" i="17"/>
  <c r="K33" i="17"/>
  <c r="J36" i="17"/>
  <c r="K36" i="17"/>
  <c r="J68" i="17"/>
  <c r="K68" i="17"/>
  <c r="J24" i="17"/>
  <c r="K24" i="17"/>
  <c r="J27" i="17"/>
  <c r="K27" i="17"/>
  <c r="J39" i="17"/>
  <c r="K39" i="17"/>
  <c r="J51" i="17"/>
  <c r="K51" i="17"/>
  <c r="J54" i="17"/>
  <c r="K54" i="17"/>
  <c r="J57" i="17"/>
  <c r="K57" i="17"/>
  <c r="J60" i="17"/>
  <c r="K60" i="17"/>
  <c r="J71" i="17"/>
  <c r="K71" i="17"/>
  <c r="J74" i="17"/>
  <c r="K74" i="17"/>
  <c r="J63" i="17"/>
  <c r="K63" i="17"/>
  <c r="J77" i="17"/>
  <c r="K77" i="17"/>
  <c r="J80" i="17"/>
  <c r="K80" i="17"/>
  <c r="J86" i="17"/>
  <c r="K86" i="17"/>
  <c r="J97" i="17"/>
  <c r="K97" i="17"/>
  <c r="J100" i="17"/>
  <c r="K100" i="17"/>
  <c r="J186" i="17"/>
  <c r="K186" i="17"/>
  <c r="J16" i="17"/>
  <c r="J13" i="17"/>
  <c r="K13" i="17"/>
  <c r="J21" i="17"/>
  <c r="K21" i="17"/>
  <c r="J30" i="17"/>
  <c r="K30" i="17"/>
  <c r="I323" i="17"/>
  <c r="J12" i="17"/>
  <c r="J182" i="17"/>
  <c r="K182" i="17"/>
  <c r="B248" i="17"/>
  <c r="J233" i="17"/>
  <c r="B300" i="17"/>
  <c r="K301" i="17"/>
  <c r="J192" i="17"/>
  <c r="K160" i="17"/>
  <c r="J221" i="17"/>
  <c r="K221" i="17"/>
  <c r="J227" i="17"/>
  <c r="K227" i="17"/>
  <c r="J176" i="17"/>
  <c r="K176" i="17"/>
  <c r="J230" i="17"/>
  <c r="K230" i="17"/>
  <c r="K297" i="17"/>
  <c r="G152" i="15"/>
  <c r="I152" i="15"/>
  <c r="G153" i="15"/>
  <c r="I325" i="17"/>
  <c r="D328" i="17"/>
  <c r="D318" i="17"/>
  <c r="F318" i="17"/>
  <c r="B191" i="17"/>
  <c r="K192" i="17"/>
  <c r="K16" i="17"/>
  <c r="K233" i="17"/>
  <c r="K12" i="17"/>
  <c r="B11" i="17"/>
  <c r="G44" i="15"/>
  <c r="J318" i="17"/>
  <c r="K318" i="17"/>
  <c r="B313" i="17"/>
  <c r="I80" i="15"/>
  <c r="F80" i="15"/>
  <c r="J80" i="15"/>
  <c r="K80" i="15"/>
  <c r="G179" i="15"/>
  <c r="G181" i="15"/>
  <c r="G183" i="15"/>
  <c r="G185" i="15"/>
  <c r="G187" i="15"/>
  <c r="G189" i="15"/>
  <c r="I228" i="15"/>
  <c r="F228" i="15"/>
  <c r="I227" i="15"/>
  <c r="F227" i="15"/>
  <c r="I226" i="15"/>
  <c r="F226" i="15"/>
  <c r="I225" i="15"/>
  <c r="F225" i="15"/>
  <c r="I224" i="15"/>
  <c r="F224" i="15"/>
  <c r="J227" i="15"/>
  <c r="K227" i="15"/>
  <c r="J225" i="15"/>
  <c r="K225" i="15"/>
  <c r="J228" i="15"/>
  <c r="K228" i="15"/>
  <c r="J226" i="15"/>
  <c r="K226" i="15"/>
  <c r="J224" i="15"/>
  <c r="K224" i="15"/>
  <c r="G85" i="15"/>
  <c r="I85" i="15"/>
  <c r="G84" i="15"/>
  <c r="I84" i="15"/>
  <c r="G83" i="15"/>
  <c r="I83" i="15"/>
  <c r="G82" i="15"/>
  <c r="I82" i="15"/>
  <c r="I81" i="15"/>
  <c r="F81" i="15"/>
  <c r="J81" i="15"/>
  <c r="K81" i="15"/>
  <c r="I145" i="15"/>
  <c r="F145" i="15"/>
  <c r="I144" i="15"/>
  <c r="F144" i="15"/>
  <c r="G143" i="15"/>
  <c r="I143" i="15"/>
  <c r="G142" i="15"/>
  <c r="I142" i="15"/>
  <c r="G141" i="15"/>
  <c r="I141" i="15"/>
  <c r="G140" i="15"/>
  <c r="I140" i="15"/>
  <c r="I139" i="15"/>
  <c r="F139" i="15"/>
  <c r="I132" i="15"/>
  <c r="J132" i="15"/>
  <c r="K132" i="15"/>
  <c r="F132" i="15"/>
  <c r="I135" i="15"/>
  <c r="F135" i="15"/>
  <c r="I134" i="15"/>
  <c r="F134" i="15"/>
  <c r="G128" i="15"/>
  <c r="I128" i="15"/>
  <c r="G127" i="15"/>
  <c r="I127" i="15"/>
  <c r="G126" i="15"/>
  <c r="I126" i="15"/>
  <c r="I133" i="15"/>
  <c r="F133" i="15"/>
  <c r="I131" i="15"/>
  <c r="F131" i="15"/>
  <c r="I130" i="15"/>
  <c r="F130" i="15"/>
  <c r="I129" i="15"/>
  <c r="F129" i="15"/>
  <c r="I125" i="15"/>
  <c r="F125" i="15"/>
  <c r="I124" i="15"/>
  <c r="F124" i="15"/>
  <c r="G120" i="15"/>
  <c r="I120" i="15"/>
  <c r="G119" i="15"/>
  <c r="I119" i="15"/>
  <c r="I123" i="15"/>
  <c r="F123" i="15"/>
  <c r="J123" i="15"/>
  <c r="K123" i="15"/>
  <c r="I122" i="15"/>
  <c r="F122" i="15"/>
  <c r="I121" i="15"/>
  <c r="F121" i="15"/>
  <c r="I118" i="15"/>
  <c r="F118" i="15"/>
  <c r="I117" i="15"/>
  <c r="F117" i="15"/>
  <c r="G108" i="15"/>
  <c r="I108" i="15"/>
  <c r="G107" i="15"/>
  <c r="I107" i="15"/>
  <c r="I109" i="15"/>
  <c r="F109" i="15"/>
  <c r="I105" i="15"/>
  <c r="F105" i="15"/>
  <c r="I104" i="15"/>
  <c r="F104" i="15"/>
  <c r="I106" i="15"/>
  <c r="F106" i="15"/>
  <c r="I103" i="15"/>
  <c r="F103" i="15"/>
  <c r="G138" i="15"/>
  <c r="I138" i="15"/>
  <c r="G137" i="15"/>
  <c r="I137" i="15"/>
  <c r="G113" i="15"/>
  <c r="I113" i="15"/>
  <c r="G112" i="15"/>
  <c r="I112" i="15"/>
  <c r="I136" i="15"/>
  <c r="F136" i="15"/>
  <c r="I116" i="15"/>
  <c r="F116" i="15"/>
  <c r="I115" i="15"/>
  <c r="F115" i="15"/>
  <c r="I114" i="15"/>
  <c r="F114" i="15"/>
  <c r="I111" i="15"/>
  <c r="F111" i="15"/>
  <c r="I110" i="15"/>
  <c r="F110" i="15"/>
  <c r="G70" i="15"/>
  <c r="I70" i="15"/>
  <c r="G59" i="15"/>
  <c r="I59" i="15"/>
  <c r="G94" i="15"/>
  <c r="I94" i="15"/>
  <c r="G93" i="15"/>
  <c r="I93" i="15"/>
  <c r="G91" i="15"/>
  <c r="I91" i="15"/>
  <c r="G90" i="15"/>
  <c r="I90" i="15"/>
  <c r="G88" i="15"/>
  <c r="I88" i="15"/>
  <c r="G87" i="15"/>
  <c r="I87" i="15"/>
  <c r="F97" i="15"/>
  <c r="I97" i="15"/>
  <c r="G79" i="15"/>
  <c r="I79" i="15"/>
  <c r="G78" i="15"/>
  <c r="I78" i="15"/>
  <c r="G76" i="15"/>
  <c r="I76" i="15"/>
  <c r="G73" i="15"/>
  <c r="I73" i="15"/>
  <c r="G69" i="15"/>
  <c r="I69" i="15"/>
  <c r="G67" i="15"/>
  <c r="I67" i="15"/>
  <c r="G66" i="15"/>
  <c r="I66" i="15"/>
  <c r="G65" i="15"/>
  <c r="I65" i="15"/>
  <c r="G64" i="15"/>
  <c r="I64" i="15"/>
  <c r="G62" i="15"/>
  <c r="I62" i="15"/>
  <c r="G56" i="15"/>
  <c r="I56" i="15"/>
  <c r="G53" i="15"/>
  <c r="I53" i="15"/>
  <c r="G49" i="15"/>
  <c r="I49" i="15"/>
  <c r="G50" i="15"/>
  <c r="I50" i="15"/>
  <c r="G45" i="15"/>
  <c r="I45" i="15"/>
  <c r="G42" i="15"/>
  <c r="I42" i="15"/>
  <c r="G38" i="15"/>
  <c r="I38" i="15"/>
  <c r="G35" i="15"/>
  <c r="I35" i="15"/>
  <c r="G32" i="15"/>
  <c r="I32" i="15"/>
  <c r="G29" i="15"/>
  <c r="I29" i="15"/>
  <c r="G26" i="15"/>
  <c r="I26" i="15"/>
  <c r="G23" i="15"/>
  <c r="I23" i="15"/>
  <c r="G20" i="15"/>
  <c r="I20" i="15"/>
  <c r="I244" i="15"/>
  <c r="I120" i="14"/>
  <c r="D120" i="14"/>
  <c r="F120" i="14"/>
  <c r="I119" i="14"/>
  <c r="D119" i="14"/>
  <c r="F119" i="14"/>
  <c r="I118" i="14"/>
  <c r="D118" i="14"/>
  <c r="I117" i="14"/>
  <c r="D117" i="14"/>
  <c r="F117" i="14"/>
  <c r="I116" i="14"/>
  <c r="D116" i="14"/>
  <c r="F116" i="14"/>
  <c r="I115" i="14"/>
  <c r="D115" i="14"/>
  <c r="I114" i="14"/>
  <c r="D114" i="14"/>
  <c r="F114" i="14"/>
  <c r="I113" i="14"/>
  <c r="D113" i="14"/>
  <c r="F113" i="14"/>
  <c r="I112" i="14"/>
  <c r="D112" i="14"/>
  <c r="F112" i="14"/>
  <c r="I111" i="14"/>
  <c r="D111" i="14"/>
  <c r="F111" i="14"/>
  <c r="I110" i="14"/>
  <c r="D110" i="14"/>
  <c r="F110" i="14"/>
  <c r="I109" i="14"/>
  <c r="D109" i="14"/>
  <c r="F109" i="14"/>
  <c r="I108" i="14"/>
  <c r="D108" i="14"/>
  <c r="F108" i="14"/>
  <c r="G12" i="15"/>
  <c r="I12" i="15"/>
  <c r="D12" i="15"/>
  <c r="F12" i="15"/>
  <c r="J12" i="15"/>
  <c r="M196" i="15"/>
  <c r="I196" i="15"/>
  <c r="F196" i="15"/>
  <c r="M195" i="15"/>
  <c r="I195" i="15"/>
  <c r="F195" i="15"/>
  <c r="M239" i="15"/>
  <c r="I239" i="15"/>
  <c r="F239" i="15"/>
  <c r="M238" i="15"/>
  <c r="I238" i="15"/>
  <c r="F238" i="15"/>
  <c r="M237" i="15"/>
  <c r="I237" i="15"/>
  <c r="F237" i="15"/>
  <c r="M236" i="15"/>
  <c r="I236" i="15"/>
  <c r="F236" i="15"/>
  <c r="M235" i="15"/>
  <c r="I235" i="15"/>
  <c r="F235" i="15"/>
  <c r="M234" i="15"/>
  <c r="I234" i="15"/>
  <c r="F234" i="15"/>
  <c r="I245" i="15"/>
  <c r="F245" i="15"/>
  <c r="M241" i="15"/>
  <c r="M240" i="15"/>
  <c r="I243" i="15"/>
  <c r="F243" i="15"/>
  <c r="I242" i="15"/>
  <c r="F242" i="15"/>
  <c r="I246" i="15"/>
  <c r="F246" i="15"/>
  <c r="M198" i="15"/>
  <c r="I198" i="15"/>
  <c r="F198" i="15"/>
  <c r="M197" i="15"/>
  <c r="I197" i="15"/>
  <c r="F197" i="15"/>
  <c r="J197" i="15"/>
  <c r="K197" i="15"/>
  <c r="A10" i="6"/>
  <c r="D20" i="6"/>
  <c r="E20" i="6"/>
  <c r="D21" i="6"/>
  <c r="E21" i="6"/>
  <c r="D22" i="6"/>
  <c r="E22" i="6"/>
  <c r="D23" i="6"/>
  <c r="E23" i="6"/>
  <c r="D24" i="6"/>
  <c r="E24" i="6"/>
  <c r="D25" i="6"/>
  <c r="E25" i="6"/>
  <c r="D26" i="6"/>
  <c r="E26" i="6"/>
  <c r="D27" i="6"/>
  <c r="E27" i="6"/>
  <c r="D28" i="6"/>
  <c r="E28" i="6"/>
  <c r="D29" i="6"/>
  <c r="E29" i="6"/>
  <c r="D30" i="6"/>
  <c r="E30" i="6"/>
  <c r="D31" i="6"/>
  <c r="E31" i="6"/>
  <c r="D32" i="6"/>
  <c r="E32" i="6"/>
  <c r="D33" i="6"/>
  <c r="E33" i="6"/>
  <c r="D34" i="6"/>
  <c r="E34" i="6"/>
  <c r="D35" i="6"/>
  <c r="E35" i="6"/>
  <c r="D36" i="6"/>
  <c r="E36" i="6"/>
  <c r="D37" i="6"/>
  <c r="E37" i="6"/>
  <c r="D38" i="6"/>
  <c r="E38" i="6"/>
  <c r="D39" i="6"/>
  <c r="E39" i="6"/>
  <c r="D40" i="6"/>
  <c r="E40" i="6"/>
  <c r="D41" i="6"/>
  <c r="E41" i="6"/>
  <c r="D42" i="6"/>
  <c r="E42" i="6"/>
  <c r="D43" i="6"/>
  <c r="E43" i="6"/>
  <c r="D44" i="6"/>
  <c r="E44" i="6"/>
  <c r="D45" i="6"/>
  <c r="E45" i="6"/>
  <c r="D46" i="6"/>
  <c r="E46" i="6"/>
  <c r="D47" i="6"/>
  <c r="E47" i="6"/>
  <c r="D48" i="6"/>
  <c r="E48" i="6"/>
  <c r="D49" i="6"/>
  <c r="E49" i="6"/>
  <c r="E19" i="6"/>
  <c r="D19" i="6"/>
  <c r="A21" i="6"/>
  <c r="B21" i="6"/>
  <c r="A22" i="6"/>
  <c r="B22" i="6"/>
  <c r="A23" i="6"/>
  <c r="B23" i="6"/>
  <c r="A24" i="6"/>
  <c r="B24" i="6"/>
  <c r="A25" i="6"/>
  <c r="B25" i="6"/>
  <c r="A26" i="6"/>
  <c r="B26" i="6"/>
  <c r="A27" i="6"/>
  <c r="B27" i="6"/>
  <c r="A28" i="6"/>
  <c r="B28" i="6"/>
  <c r="A29" i="6"/>
  <c r="B29" i="6"/>
  <c r="A30" i="6"/>
  <c r="B30" i="6"/>
  <c r="A31" i="6"/>
  <c r="B31" i="6"/>
  <c r="A32" i="6"/>
  <c r="B32" i="6"/>
  <c r="A33" i="6"/>
  <c r="B33" i="6"/>
  <c r="A34" i="6"/>
  <c r="B34" i="6"/>
  <c r="A35" i="6"/>
  <c r="B35" i="6"/>
  <c r="A36" i="6"/>
  <c r="B36" i="6"/>
  <c r="A37" i="6"/>
  <c r="B37" i="6"/>
  <c r="A38" i="6"/>
  <c r="B38" i="6"/>
  <c r="A39" i="6"/>
  <c r="B39" i="6"/>
  <c r="A40" i="6"/>
  <c r="B40" i="6"/>
  <c r="A41" i="6"/>
  <c r="B41" i="6"/>
  <c r="A42" i="6"/>
  <c r="B42" i="6"/>
  <c r="A43" i="6"/>
  <c r="B43" i="6"/>
  <c r="A44" i="6"/>
  <c r="B44" i="6"/>
  <c r="A45" i="6"/>
  <c r="B45" i="6"/>
  <c r="A46" i="6"/>
  <c r="B46" i="6"/>
  <c r="A47" i="6"/>
  <c r="B47" i="6"/>
  <c r="A48" i="6"/>
  <c r="B48" i="6"/>
  <c r="B20" i="6"/>
  <c r="A20" i="6"/>
  <c r="B19" i="6"/>
  <c r="A19" i="6"/>
  <c r="F11" i="6"/>
  <c r="F10" i="6"/>
  <c r="E8" i="6"/>
  <c r="F12" i="6"/>
  <c r="A12" i="6"/>
  <c r="A11" i="6"/>
  <c r="I275" i="15"/>
  <c r="F275" i="15"/>
  <c r="G291" i="15"/>
  <c r="I291" i="15"/>
  <c r="G290" i="15"/>
  <c r="I290" i="15"/>
  <c r="G289" i="15"/>
  <c r="I289" i="15"/>
  <c r="G288" i="15"/>
  <c r="I288" i="15"/>
  <c r="G287" i="15"/>
  <c r="I287" i="15"/>
  <c r="G157" i="15"/>
  <c r="I157" i="15"/>
  <c r="G156" i="15"/>
  <c r="I156" i="15"/>
  <c r="G155" i="15"/>
  <c r="I155" i="15"/>
  <c r="G154" i="15"/>
  <c r="I154" i="15"/>
  <c r="G151" i="15"/>
  <c r="I151" i="15"/>
  <c r="G150" i="15"/>
  <c r="I150" i="15"/>
  <c r="G173" i="15"/>
  <c r="I173" i="15"/>
  <c r="G175" i="15"/>
  <c r="I175" i="15"/>
  <c r="G177" i="15"/>
  <c r="I177" i="15"/>
  <c r="I189" i="15"/>
  <c r="I187" i="15"/>
  <c r="I185" i="15"/>
  <c r="I183" i="15"/>
  <c r="I181" i="15"/>
  <c r="I179" i="15"/>
  <c r="G102" i="15"/>
  <c r="I102" i="15"/>
  <c r="G99" i="15"/>
  <c r="I99" i="15"/>
  <c r="G96" i="15"/>
  <c r="I96" i="15"/>
  <c r="G55" i="15"/>
  <c r="I55" i="15"/>
  <c r="I54" i="15"/>
  <c r="F54" i="15"/>
  <c r="G75" i="15"/>
  <c r="I75" i="15"/>
  <c r="G72" i="15"/>
  <c r="I72" i="15"/>
  <c r="G19" i="15"/>
  <c r="I19" i="15"/>
  <c r="G22" i="15"/>
  <c r="I22" i="15"/>
  <c r="G41" i="15"/>
  <c r="I41" i="15"/>
  <c r="G25" i="15"/>
  <c r="I25" i="15"/>
  <c r="G37" i="15"/>
  <c r="I37" i="15"/>
  <c r="G28" i="15"/>
  <c r="I28" i="15"/>
  <c r="G31" i="15"/>
  <c r="I31" i="15"/>
  <c r="G34" i="15"/>
  <c r="I34" i="15"/>
  <c r="G40" i="15"/>
  <c r="I40" i="15"/>
  <c r="I44" i="15"/>
  <c r="G52" i="15"/>
  <c r="I52" i="15"/>
  <c r="G61" i="15"/>
  <c r="I61" i="15"/>
  <c r="G58" i="15"/>
  <c r="I58" i="15"/>
  <c r="G48" i="15"/>
  <c r="I48" i="15"/>
  <c r="G47" i="15"/>
  <c r="I47" i="15"/>
  <c r="D68" i="14"/>
  <c r="D67" i="14"/>
  <c r="D66" i="14"/>
  <c r="F66" i="14"/>
  <c r="D65" i="14"/>
  <c r="F65" i="14"/>
  <c r="D64" i="14"/>
  <c r="F64" i="14"/>
  <c r="D63" i="14"/>
  <c r="D62" i="14"/>
  <c r="F62" i="14"/>
  <c r="D61" i="14"/>
  <c r="F61" i="14"/>
  <c r="D60" i="14"/>
  <c r="F60" i="14"/>
  <c r="D59" i="14"/>
  <c r="F59" i="14"/>
  <c r="D58" i="14"/>
  <c r="F58" i="14"/>
  <c r="J58" i="14"/>
  <c r="K58" i="14"/>
  <c r="D55" i="14"/>
  <c r="F55" i="14"/>
  <c r="D54" i="14"/>
  <c r="F54" i="14"/>
  <c r="D53" i="14"/>
  <c r="F53" i="14"/>
  <c r="D52" i="14"/>
  <c r="F52" i="14"/>
  <c r="D51" i="14"/>
  <c r="F51" i="14"/>
  <c r="D50" i="14"/>
  <c r="F50" i="14"/>
  <c r="D49" i="14"/>
  <c r="F49" i="14"/>
  <c r="D48" i="14"/>
  <c r="F48" i="14"/>
  <c r="D47" i="14"/>
  <c r="F47" i="14"/>
  <c r="D46" i="14"/>
  <c r="F46" i="14"/>
  <c r="D43" i="14"/>
  <c r="F43" i="14"/>
  <c r="D42" i="14"/>
  <c r="F42" i="14"/>
  <c r="D41" i="14"/>
  <c r="F41" i="14"/>
  <c r="D40" i="14"/>
  <c r="F40" i="14"/>
  <c r="D39" i="14"/>
  <c r="F39" i="14"/>
  <c r="D38" i="14"/>
  <c r="F38" i="14"/>
  <c r="D37" i="14"/>
  <c r="F37" i="14"/>
  <c r="D36" i="14"/>
  <c r="F36" i="14"/>
  <c r="D35" i="14"/>
  <c r="F35" i="14"/>
  <c r="D34" i="14"/>
  <c r="F34" i="14"/>
  <c r="D31" i="14"/>
  <c r="F31" i="14"/>
  <c r="D30" i="14"/>
  <c r="F30" i="14"/>
  <c r="D29" i="14"/>
  <c r="F29" i="14"/>
  <c r="D28" i="14"/>
  <c r="F28" i="14"/>
  <c r="D27" i="14"/>
  <c r="F27" i="14"/>
  <c r="D26" i="14"/>
  <c r="F26" i="14"/>
  <c r="D25" i="14"/>
  <c r="F25" i="14"/>
  <c r="D24" i="14"/>
  <c r="F24" i="14"/>
  <c r="D23" i="14"/>
  <c r="F23" i="14"/>
  <c r="D22" i="14"/>
  <c r="F22" i="14"/>
  <c r="D19" i="14"/>
  <c r="D18" i="14"/>
  <c r="F18" i="14"/>
  <c r="D17" i="14"/>
  <c r="D156" i="15"/>
  <c r="F156" i="15"/>
  <c r="D16" i="14"/>
  <c r="D15" i="14"/>
  <c r="D154" i="15"/>
  <c r="F154" i="15"/>
  <c r="D14" i="14"/>
  <c r="D13" i="14"/>
  <c r="D12" i="14"/>
  <c r="D11" i="14"/>
  <c r="D150" i="17"/>
  <c r="F150" i="17"/>
  <c r="J150" i="17"/>
  <c r="K150" i="17"/>
  <c r="D10" i="14"/>
  <c r="F10" i="14"/>
  <c r="F328" i="15"/>
  <c r="J320" i="15"/>
  <c r="K320" i="15"/>
  <c r="I319" i="15"/>
  <c r="F319" i="15"/>
  <c r="I318" i="15"/>
  <c r="F318" i="15"/>
  <c r="I317" i="15"/>
  <c r="I316" i="15"/>
  <c r="F316" i="15"/>
  <c r="I315" i="15"/>
  <c r="F315" i="15"/>
  <c r="I314" i="15"/>
  <c r="F314" i="15"/>
  <c r="I313" i="15"/>
  <c r="F313" i="15"/>
  <c r="I310" i="15"/>
  <c r="F310" i="15"/>
  <c r="I309" i="15"/>
  <c r="F309" i="15"/>
  <c r="I308" i="15"/>
  <c r="F308" i="15"/>
  <c r="I307" i="15"/>
  <c r="F307" i="15"/>
  <c r="I306" i="15"/>
  <c r="F306" i="15"/>
  <c r="I305" i="15"/>
  <c r="F305" i="15"/>
  <c r="I304" i="15"/>
  <c r="F304" i="15"/>
  <c r="I303" i="15"/>
  <c r="F303" i="15"/>
  <c r="I302" i="15"/>
  <c r="F302" i="15"/>
  <c r="I301" i="15"/>
  <c r="F301" i="15"/>
  <c r="I300" i="15"/>
  <c r="F300" i="15"/>
  <c r="I297" i="15"/>
  <c r="F297" i="15"/>
  <c r="I296" i="15"/>
  <c r="F296" i="15"/>
  <c r="I293" i="15"/>
  <c r="F293" i="15"/>
  <c r="I292" i="15"/>
  <c r="F292" i="15"/>
  <c r="I284" i="15"/>
  <c r="F284" i="15"/>
  <c r="I283" i="15"/>
  <c r="F283" i="15"/>
  <c r="I282" i="15"/>
  <c r="F282" i="15"/>
  <c r="I281" i="15"/>
  <c r="F281" i="15"/>
  <c r="I280" i="15"/>
  <c r="F280" i="15"/>
  <c r="I279" i="15"/>
  <c r="F279" i="15"/>
  <c r="I278" i="15"/>
  <c r="F278" i="15"/>
  <c r="I277" i="15"/>
  <c r="F277" i="15"/>
  <c r="I276" i="15"/>
  <c r="F276" i="15"/>
  <c r="I274" i="15"/>
  <c r="F274" i="15"/>
  <c r="I273" i="15"/>
  <c r="F273" i="15"/>
  <c r="I272" i="15"/>
  <c r="F272" i="15"/>
  <c r="I271" i="15"/>
  <c r="F271" i="15"/>
  <c r="I270" i="15"/>
  <c r="F270" i="15"/>
  <c r="I269" i="15"/>
  <c r="F269" i="15"/>
  <c r="I268" i="15"/>
  <c r="F268" i="15"/>
  <c r="I267" i="15"/>
  <c r="F267" i="15"/>
  <c r="I266" i="15"/>
  <c r="F266" i="15"/>
  <c r="I265" i="15"/>
  <c r="F265" i="15"/>
  <c r="I264" i="15"/>
  <c r="F264" i="15"/>
  <c r="I263" i="15"/>
  <c r="F263" i="15"/>
  <c r="I262" i="15"/>
  <c r="F262" i="15"/>
  <c r="I257" i="15"/>
  <c r="F257" i="15"/>
  <c r="I256" i="15"/>
  <c r="F256" i="15"/>
  <c r="I255" i="15"/>
  <c r="F255" i="15"/>
  <c r="I254" i="15"/>
  <c r="F254" i="15"/>
  <c r="I252" i="15"/>
  <c r="F252" i="15"/>
  <c r="I251" i="15"/>
  <c r="F251" i="15"/>
  <c r="I250" i="15"/>
  <c r="F250" i="15"/>
  <c r="I249" i="15"/>
  <c r="F249" i="15"/>
  <c r="I241" i="15"/>
  <c r="F241" i="15"/>
  <c r="I240" i="15"/>
  <c r="F240" i="15"/>
  <c r="I233" i="15"/>
  <c r="I230" i="15"/>
  <c r="F230" i="15"/>
  <c r="I229" i="15"/>
  <c r="F229" i="15"/>
  <c r="I223" i="15"/>
  <c r="F223" i="15"/>
  <c r="I222" i="15"/>
  <c r="F222" i="15"/>
  <c r="I221" i="15"/>
  <c r="F221" i="15"/>
  <c r="I220" i="15"/>
  <c r="F220" i="15"/>
  <c r="I219" i="15"/>
  <c r="F219" i="15"/>
  <c r="I218" i="15"/>
  <c r="F218" i="15"/>
  <c r="M217" i="15"/>
  <c r="I217" i="15"/>
  <c r="F217" i="15"/>
  <c r="M216" i="15"/>
  <c r="I216" i="15"/>
  <c r="F216" i="15"/>
  <c r="M215" i="15"/>
  <c r="I215" i="15"/>
  <c r="F215" i="15"/>
  <c r="M214" i="15"/>
  <c r="I214" i="15"/>
  <c r="F214" i="15"/>
  <c r="M213" i="15"/>
  <c r="I213" i="15"/>
  <c r="F213" i="15"/>
  <c r="M212" i="15"/>
  <c r="I212" i="15"/>
  <c r="F212" i="15"/>
  <c r="M211" i="15"/>
  <c r="I211" i="15"/>
  <c r="F211" i="15"/>
  <c r="M210" i="15"/>
  <c r="I210" i="15"/>
  <c r="F210" i="15"/>
  <c r="M209" i="15"/>
  <c r="I209" i="15"/>
  <c r="F209" i="15"/>
  <c r="M208" i="15"/>
  <c r="I208" i="15"/>
  <c r="F208" i="15"/>
  <c r="M207" i="15"/>
  <c r="I207" i="15"/>
  <c r="F207" i="15"/>
  <c r="M206" i="15"/>
  <c r="I206" i="15"/>
  <c r="F206" i="15"/>
  <c r="M205" i="15"/>
  <c r="I205" i="15"/>
  <c r="F205" i="15"/>
  <c r="M204" i="15"/>
  <c r="I204" i="15"/>
  <c r="F204" i="15"/>
  <c r="M203" i="15"/>
  <c r="I203" i="15"/>
  <c r="F203" i="15"/>
  <c r="M202" i="15"/>
  <c r="I202" i="15"/>
  <c r="F202" i="15"/>
  <c r="M201" i="15"/>
  <c r="I201" i="15"/>
  <c r="F201" i="15"/>
  <c r="M200" i="15"/>
  <c r="I200" i="15"/>
  <c r="F200" i="15"/>
  <c r="M199" i="15"/>
  <c r="I199" i="15"/>
  <c r="F199" i="15"/>
  <c r="M194" i="15"/>
  <c r="I194" i="15"/>
  <c r="F194" i="15"/>
  <c r="M193" i="15"/>
  <c r="I193" i="15"/>
  <c r="F193" i="15"/>
  <c r="I192" i="15"/>
  <c r="I188" i="15"/>
  <c r="F188" i="15"/>
  <c r="I186" i="15"/>
  <c r="F186" i="15"/>
  <c r="I184" i="15"/>
  <c r="F184" i="15"/>
  <c r="I182" i="15"/>
  <c r="F182" i="15"/>
  <c r="I180" i="15"/>
  <c r="F180" i="15"/>
  <c r="I178" i="15"/>
  <c r="F178" i="15"/>
  <c r="I176" i="15"/>
  <c r="F176" i="15"/>
  <c r="I174" i="15"/>
  <c r="F174" i="15"/>
  <c r="I172" i="15"/>
  <c r="F172" i="15"/>
  <c r="I171" i="15"/>
  <c r="F171" i="15"/>
  <c r="I170" i="15"/>
  <c r="F170" i="15"/>
  <c r="I169" i="15"/>
  <c r="F169" i="15"/>
  <c r="I168" i="15"/>
  <c r="F168" i="15"/>
  <c r="I167" i="15"/>
  <c r="F167" i="15"/>
  <c r="I166" i="15"/>
  <c r="F166" i="15"/>
  <c r="I165" i="15"/>
  <c r="F165" i="15"/>
  <c r="I164" i="15"/>
  <c r="F164" i="15"/>
  <c r="I163" i="15"/>
  <c r="F163" i="15"/>
  <c r="I162" i="15"/>
  <c r="F162" i="15"/>
  <c r="I161" i="15"/>
  <c r="F161" i="15"/>
  <c r="I160" i="15"/>
  <c r="F160" i="15"/>
  <c r="I153" i="15"/>
  <c r="I149" i="15"/>
  <c r="F149" i="15"/>
  <c r="I148" i="15"/>
  <c r="F148" i="15"/>
  <c r="I147" i="15"/>
  <c r="F147" i="15"/>
  <c r="I146" i="15"/>
  <c r="F146" i="15"/>
  <c r="I101" i="15"/>
  <c r="F101" i="15"/>
  <c r="I100" i="15"/>
  <c r="F100" i="15"/>
  <c r="I98" i="15"/>
  <c r="F98" i="15"/>
  <c r="I95" i="15"/>
  <c r="F95" i="15"/>
  <c r="I92" i="15"/>
  <c r="F92" i="15"/>
  <c r="I89" i="15"/>
  <c r="F89" i="15"/>
  <c r="I86" i="15"/>
  <c r="F86" i="15"/>
  <c r="I77" i="15"/>
  <c r="F77" i="15"/>
  <c r="I74" i="15"/>
  <c r="F74" i="15"/>
  <c r="I71" i="15"/>
  <c r="F71" i="15"/>
  <c r="I68" i="15"/>
  <c r="F68" i="15"/>
  <c r="I63" i="15"/>
  <c r="F63" i="15"/>
  <c r="I60" i="15"/>
  <c r="F60" i="15"/>
  <c r="I57" i="15"/>
  <c r="F57" i="15"/>
  <c r="I51" i="15"/>
  <c r="F51" i="15"/>
  <c r="I46" i="15"/>
  <c r="F46" i="15"/>
  <c r="I43" i="15"/>
  <c r="F43" i="15"/>
  <c r="I39" i="15"/>
  <c r="F39" i="15"/>
  <c r="I36" i="15"/>
  <c r="F36" i="15"/>
  <c r="I33" i="15"/>
  <c r="F33" i="15"/>
  <c r="I30" i="15"/>
  <c r="F30" i="15"/>
  <c r="I27" i="15"/>
  <c r="F27" i="15"/>
  <c r="I24" i="15"/>
  <c r="F24" i="15"/>
  <c r="I21" i="15"/>
  <c r="F21" i="15"/>
  <c r="I18" i="15"/>
  <c r="F18" i="15"/>
  <c r="I17" i="15"/>
  <c r="F17" i="15"/>
  <c r="I16" i="15"/>
  <c r="F16" i="15"/>
  <c r="K15" i="15"/>
  <c r="I13" i="15"/>
  <c r="F13" i="15"/>
  <c r="I68" i="14"/>
  <c r="D101" i="14"/>
  <c r="F101" i="14"/>
  <c r="D100" i="14"/>
  <c r="D99" i="14"/>
  <c r="D98" i="14"/>
  <c r="D97" i="14"/>
  <c r="D96" i="14"/>
  <c r="F96" i="14"/>
  <c r="D95" i="14"/>
  <c r="D94" i="14"/>
  <c r="D93" i="14"/>
  <c r="D92" i="14"/>
  <c r="F92" i="14"/>
  <c r="D91" i="14"/>
  <c r="D90" i="14"/>
  <c r="D89" i="14"/>
  <c r="F89" i="14"/>
  <c r="D88" i="14"/>
  <c r="D87" i="14"/>
  <c r="D86" i="14"/>
  <c r="D85" i="14"/>
  <c r="F85" i="14"/>
  <c r="D83" i="14"/>
  <c r="F83" i="14"/>
  <c r="D84" i="14"/>
  <c r="I98" i="14"/>
  <c r="F71" i="14"/>
  <c r="I71" i="14"/>
  <c r="I83" i="14"/>
  <c r="I101" i="14"/>
  <c r="I100" i="14"/>
  <c r="I99" i="14"/>
  <c r="I97" i="14"/>
  <c r="I96" i="14"/>
  <c r="I95" i="14"/>
  <c r="I94" i="14"/>
  <c r="I93" i="14"/>
  <c r="I92" i="14"/>
  <c r="I91" i="14"/>
  <c r="I90" i="14"/>
  <c r="I89" i="14"/>
  <c r="I88" i="14"/>
  <c r="I87" i="14"/>
  <c r="I86" i="14"/>
  <c r="I85" i="14"/>
  <c r="I84" i="14"/>
  <c r="J70" i="14"/>
  <c r="K70" i="14"/>
  <c r="I80" i="14"/>
  <c r="I79" i="14"/>
  <c r="I78" i="14"/>
  <c r="I77" i="14"/>
  <c r="I76" i="14"/>
  <c r="I75" i="14"/>
  <c r="J75" i="14"/>
  <c r="K75" i="14"/>
  <c r="I74" i="14"/>
  <c r="I73" i="14"/>
  <c r="J73" i="14"/>
  <c r="K73" i="14"/>
  <c r="I72" i="14"/>
  <c r="F80" i="14"/>
  <c r="F79" i="14"/>
  <c r="F78" i="14"/>
  <c r="F77" i="14"/>
  <c r="F76" i="14"/>
  <c r="F75" i="14"/>
  <c r="F74" i="14"/>
  <c r="F73" i="14"/>
  <c r="F72" i="14"/>
  <c r="J56" i="14"/>
  <c r="K56" i="14"/>
  <c r="J57" i="14"/>
  <c r="K57" i="14"/>
  <c r="I67" i="14"/>
  <c r="I66" i="14"/>
  <c r="I65" i="14"/>
  <c r="I64" i="14"/>
  <c r="I63" i="14"/>
  <c r="I62" i="14"/>
  <c r="I61" i="14"/>
  <c r="I60" i="14"/>
  <c r="I59" i="14"/>
  <c r="I58" i="14"/>
  <c r="J20" i="14"/>
  <c r="K20" i="14"/>
  <c r="J21" i="14"/>
  <c r="K21" i="14"/>
  <c r="I31" i="14"/>
  <c r="I30" i="14"/>
  <c r="I29" i="14"/>
  <c r="I28" i="14"/>
  <c r="I27" i="14"/>
  <c r="I26" i="14"/>
  <c r="I25" i="14"/>
  <c r="I24" i="14"/>
  <c r="I23" i="14"/>
  <c r="I22" i="14"/>
  <c r="I19" i="14"/>
  <c r="I18" i="14"/>
  <c r="I17" i="14"/>
  <c r="I16" i="14"/>
  <c r="I15" i="14"/>
  <c r="I14" i="14"/>
  <c r="I13" i="14"/>
  <c r="I12" i="14"/>
  <c r="I11" i="14"/>
  <c r="I10" i="14"/>
  <c r="J44" i="14"/>
  <c r="K44" i="14"/>
  <c r="J45" i="14"/>
  <c r="K45" i="14"/>
  <c r="I55" i="14"/>
  <c r="I54" i="14"/>
  <c r="I53" i="14"/>
  <c r="I52" i="14"/>
  <c r="I51" i="14"/>
  <c r="I50" i="14"/>
  <c r="I49" i="14"/>
  <c r="I48" i="14"/>
  <c r="I47" i="14"/>
  <c r="I46" i="14"/>
  <c r="J33" i="14"/>
  <c r="K33" i="14"/>
  <c r="I43" i="14"/>
  <c r="I42" i="14"/>
  <c r="I41" i="14"/>
  <c r="I40" i="14"/>
  <c r="I39" i="14"/>
  <c r="I38" i="14"/>
  <c r="I37" i="14"/>
  <c r="I36" i="14"/>
  <c r="I35" i="14"/>
  <c r="I34" i="14"/>
  <c r="F130" i="14"/>
  <c r="J122" i="14"/>
  <c r="K122" i="14"/>
  <c r="B14" i="13"/>
  <c r="H14" i="13"/>
  <c r="H60" i="13"/>
  <c r="E60" i="13"/>
  <c r="I60" i="13"/>
  <c r="J60" i="13"/>
  <c r="H59" i="13"/>
  <c r="E59" i="13"/>
  <c r="H58" i="13"/>
  <c r="E58" i="13"/>
  <c r="H57" i="13"/>
  <c r="E57" i="13"/>
  <c r="I57" i="13"/>
  <c r="J57" i="13"/>
  <c r="H56" i="13"/>
  <c r="E56" i="13"/>
  <c r="H55" i="13"/>
  <c r="E55" i="13"/>
  <c r="H54" i="13"/>
  <c r="E54" i="13"/>
  <c r="I54" i="13"/>
  <c r="H53" i="13"/>
  <c r="E53" i="13"/>
  <c r="H52" i="13"/>
  <c r="E52" i="13"/>
  <c r="H51" i="13"/>
  <c r="E51" i="13"/>
  <c r="I51" i="13"/>
  <c r="J51" i="13"/>
  <c r="H50" i="13"/>
  <c r="E50" i="13"/>
  <c r="H49" i="13"/>
  <c r="E49" i="13"/>
  <c r="H48" i="13"/>
  <c r="E48" i="13"/>
  <c r="I48" i="13"/>
  <c r="H47" i="13"/>
  <c r="E47" i="13"/>
  <c r="H46" i="13"/>
  <c r="E46" i="13"/>
  <c r="H45" i="13"/>
  <c r="E45" i="13"/>
  <c r="I45" i="13"/>
  <c r="J45" i="13"/>
  <c r="H44" i="13"/>
  <c r="E44" i="13"/>
  <c r="H43" i="13"/>
  <c r="E43" i="13"/>
  <c r="H42" i="13"/>
  <c r="E42" i="13"/>
  <c r="I42" i="13"/>
  <c r="J42" i="13"/>
  <c r="H41" i="13"/>
  <c r="E41" i="13"/>
  <c r="H40" i="13"/>
  <c r="E40" i="13"/>
  <c r="H39" i="13"/>
  <c r="E39" i="13"/>
  <c r="I39" i="13"/>
  <c r="J39" i="13"/>
  <c r="H38" i="13"/>
  <c r="E38" i="13"/>
  <c r="H37" i="13"/>
  <c r="E37" i="13"/>
  <c r="H36" i="13"/>
  <c r="E36" i="13"/>
  <c r="I36" i="13"/>
  <c r="J36" i="13"/>
  <c r="H35" i="13"/>
  <c r="E35" i="13"/>
  <c r="H34" i="13"/>
  <c r="E34" i="13"/>
  <c r="H33" i="13"/>
  <c r="E33" i="13"/>
  <c r="I33" i="13"/>
  <c r="J33" i="13"/>
  <c r="H32" i="13"/>
  <c r="E32" i="13"/>
  <c r="H31" i="13"/>
  <c r="E31" i="13"/>
  <c r="H30" i="13"/>
  <c r="E30" i="13"/>
  <c r="I30" i="13"/>
  <c r="H29" i="13"/>
  <c r="E29" i="13"/>
  <c r="H28" i="13"/>
  <c r="E28" i="13"/>
  <c r="H27" i="13"/>
  <c r="E27" i="13"/>
  <c r="I27" i="13"/>
  <c r="J27" i="13"/>
  <c r="H26" i="13"/>
  <c r="E26" i="13"/>
  <c r="H25" i="13"/>
  <c r="E25" i="13"/>
  <c r="H24" i="13"/>
  <c r="E24" i="13"/>
  <c r="I24" i="13"/>
  <c r="J24" i="13"/>
  <c r="H23" i="13"/>
  <c r="E23" i="13"/>
  <c r="H22" i="13"/>
  <c r="E22" i="13"/>
  <c r="H21" i="13"/>
  <c r="E21" i="13"/>
  <c r="I21" i="13"/>
  <c r="J21" i="13"/>
  <c r="H20" i="13"/>
  <c r="E20" i="13"/>
  <c r="H19" i="13"/>
  <c r="E19" i="13"/>
  <c r="H18" i="13"/>
  <c r="E18" i="13"/>
  <c r="H15" i="13"/>
  <c r="E15" i="13"/>
  <c r="B13" i="13"/>
  <c r="L12" i="13"/>
  <c r="H12" i="13"/>
  <c r="E12" i="13"/>
  <c r="I12" i="13"/>
  <c r="J12" i="13"/>
  <c r="L11" i="13"/>
  <c r="H11" i="13"/>
  <c r="I11" i="13"/>
  <c r="J11" i="13"/>
  <c r="E11" i="13"/>
  <c r="L10" i="13"/>
  <c r="H10" i="13"/>
  <c r="E10" i="13"/>
  <c r="I10" i="13"/>
  <c r="L9" i="13"/>
  <c r="H9" i="13"/>
  <c r="I9" i="13"/>
  <c r="E9" i="13"/>
  <c r="L8" i="13"/>
  <c r="H8" i="13"/>
  <c r="E8" i="13"/>
  <c r="L7" i="13"/>
  <c r="L13" i="13"/>
  <c r="H7" i="13"/>
  <c r="E7" i="13"/>
  <c r="H6" i="13"/>
  <c r="I19" i="13"/>
  <c r="J19" i="13"/>
  <c r="I22" i="13"/>
  <c r="J22" i="13"/>
  <c r="I18" i="13"/>
  <c r="J18" i="13"/>
  <c r="B17" i="13"/>
  <c r="E17" i="13"/>
  <c r="B16" i="13"/>
  <c r="E16" i="13"/>
  <c r="L14" i="13"/>
  <c r="L15" i="13"/>
  <c r="C6" i="13"/>
  <c r="E6" i="13"/>
  <c r="I6" i="13"/>
  <c r="I25" i="13"/>
  <c r="J25" i="13"/>
  <c r="I28" i="13"/>
  <c r="J28" i="13"/>
  <c r="J30" i="13"/>
  <c r="I31" i="13"/>
  <c r="J31" i="13"/>
  <c r="I34" i="13"/>
  <c r="J34" i="13"/>
  <c r="I37" i="13"/>
  <c r="J37" i="13"/>
  <c r="I40" i="13"/>
  <c r="J40" i="13"/>
  <c r="I43" i="13"/>
  <c r="J43" i="13"/>
  <c r="I46" i="13"/>
  <c r="J46" i="13"/>
  <c r="J48" i="13"/>
  <c r="I49" i="13"/>
  <c r="J49" i="13"/>
  <c r="I52" i="13"/>
  <c r="J52" i="13"/>
  <c r="J54" i="13"/>
  <c r="I55" i="13"/>
  <c r="J55" i="13"/>
  <c r="I58" i="13"/>
  <c r="J58" i="13"/>
  <c r="J9" i="13"/>
  <c r="J10" i="13"/>
  <c r="E13" i="13"/>
  <c r="E14" i="13"/>
  <c r="H16" i="13"/>
  <c r="I16" i="13"/>
  <c r="J16" i="13"/>
  <c r="H13" i="13"/>
  <c r="I13" i="13"/>
  <c r="J13" i="13"/>
  <c r="J9" i="14"/>
  <c r="K9" i="14"/>
  <c r="B123" i="14"/>
  <c r="J238" i="15"/>
  <c r="K238" i="15"/>
  <c r="J234" i="15"/>
  <c r="K234" i="15"/>
  <c r="J117" i="15"/>
  <c r="K117" i="15"/>
  <c r="J121" i="15"/>
  <c r="K121" i="15"/>
  <c r="J122" i="15"/>
  <c r="K122" i="15"/>
  <c r="J114" i="15"/>
  <c r="K114" i="15"/>
  <c r="D142" i="15"/>
  <c r="F142" i="15"/>
  <c r="J142" i="15"/>
  <c r="K142" i="15"/>
  <c r="J24" i="15"/>
  <c r="K24" i="15"/>
  <c r="J77" i="15"/>
  <c r="K77" i="15"/>
  <c r="J161" i="15"/>
  <c r="K161" i="15"/>
  <c r="J167" i="15"/>
  <c r="K167" i="15"/>
  <c r="J170" i="15"/>
  <c r="K170" i="15"/>
  <c r="J180" i="15"/>
  <c r="K180" i="15"/>
  <c r="J186" i="15"/>
  <c r="K186" i="15"/>
  <c r="J220" i="15"/>
  <c r="K220" i="15"/>
  <c r="J223" i="15"/>
  <c r="K223" i="15"/>
  <c r="J188" i="15"/>
  <c r="K188" i="15"/>
  <c r="J212" i="15"/>
  <c r="K212" i="15"/>
  <c r="J148" i="15"/>
  <c r="K148" i="15"/>
  <c r="J193" i="15"/>
  <c r="K193" i="15"/>
  <c r="J241" i="15"/>
  <c r="K241" i="15"/>
  <c r="J205" i="15"/>
  <c r="K205" i="15"/>
  <c r="J163" i="15"/>
  <c r="K163" i="15"/>
  <c r="J166" i="15"/>
  <c r="K166" i="15"/>
  <c r="J30" i="15"/>
  <c r="K30" i="15"/>
  <c r="J164" i="15"/>
  <c r="K164" i="15"/>
  <c r="J174" i="15"/>
  <c r="K174" i="15"/>
  <c r="J268" i="15"/>
  <c r="K268" i="15"/>
  <c r="J278" i="15"/>
  <c r="K278" i="15"/>
  <c r="J281" i="15"/>
  <c r="K281" i="15"/>
  <c r="J310" i="15"/>
  <c r="K310" i="15"/>
  <c r="J195" i="15"/>
  <c r="K195" i="15"/>
  <c r="J136" i="15"/>
  <c r="K136" i="15"/>
  <c r="J103" i="15"/>
  <c r="K103" i="15"/>
  <c r="J293" i="15"/>
  <c r="K293" i="15"/>
  <c r="J85" i="14"/>
  <c r="K85" i="14"/>
  <c r="J71" i="14"/>
  <c r="K71" i="14"/>
  <c r="J80" i="14"/>
  <c r="K80" i="14"/>
  <c r="J35" i="14"/>
  <c r="K35" i="14"/>
  <c r="J41" i="14"/>
  <c r="K41" i="14"/>
  <c r="D62" i="15"/>
  <c r="F62" i="15"/>
  <c r="J62" i="15"/>
  <c r="K62" i="15"/>
  <c r="J79" i="14"/>
  <c r="K79" i="14"/>
  <c r="J95" i="15"/>
  <c r="K95" i="15"/>
  <c r="J74" i="14"/>
  <c r="K74" i="14"/>
  <c r="J76" i="14"/>
  <c r="K76" i="14"/>
  <c r="J60" i="15"/>
  <c r="K60" i="15"/>
  <c r="D45" i="15"/>
  <c r="F45" i="15"/>
  <c r="J45" i="15"/>
  <c r="K45" i="15"/>
  <c r="D42" i="15"/>
  <c r="F42" i="15"/>
  <c r="J42" i="15"/>
  <c r="K42" i="15"/>
  <c r="F15" i="14"/>
  <c r="J15" i="14"/>
  <c r="K15" i="14"/>
  <c r="D94" i="17"/>
  <c r="F94" i="17"/>
  <c r="J94" i="17"/>
  <c r="K94" i="17"/>
  <c r="D76" i="17"/>
  <c r="F76" i="17"/>
  <c r="J76" i="17"/>
  <c r="K76" i="17"/>
  <c r="D153" i="17"/>
  <c r="F153" i="17"/>
  <c r="J153" i="17"/>
  <c r="K153" i="17"/>
  <c r="D73" i="15"/>
  <c r="F73" i="15"/>
  <c r="J73" i="15"/>
  <c r="K73" i="15"/>
  <c r="D73" i="17"/>
  <c r="F73" i="17"/>
  <c r="J73" i="17"/>
  <c r="K73" i="17"/>
  <c r="D154" i="17"/>
  <c r="F154" i="17"/>
  <c r="J154" i="17"/>
  <c r="K154" i="17"/>
  <c r="D91" i="17"/>
  <c r="F91" i="17"/>
  <c r="J91" i="17"/>
  <c r="K91" i="17"/>
  <c r="D56" i="17"/>
  <c r="F56" i="17"/>
  <c r="J56" i="17"/>
  <c r="K56" i="17"/>
  <c r="D155" i="17"/>
  <c r="F155" i="17"/>
  <c r="J155" i="17"/>
  <c r="K155" i="17"/>
  <c r="D142" i="17"/>
  <c r="F142" i="17"/>
  <c r="J142" i="17"/>
  <c r="K142" i="17"/>
  <c r="D84" i="17"/>
  <c r="F84" i="17"/>
  <c r="J84" i="17"/>
  <c r="K84" i="17"/>
  <c r="D70" i="17"/>
  <c r="F70" i="17"/>
  <c r="J70" i="17"/>
  <c r="K70" i="17"/>
  <c r="D66" i="17"/>
  <c r="F66" i="17"/>
  <c r="J66" i="17"/>
  <c r="K66" i="17"/>
  <c r="D53" i="17"/>
  <c r="F53" i="17"/>
  <c r="J53" i="17"/>
  <c r="K53" i="17"/>
  <c r="D49" i="17"/>
  <c r="F49" i="17"/>
  <c r="J49" i="17"/>
  <c r="K49" i="17"/>
  <c r="D42" i="17"/>
  <c r="F42" i="17"/>
  <c r="J42" i="17"/>
  <c r="K42" i="17"/>
  <c r="D59" i="17"/>
  <c r="F59" i="17"/>
  <c r="J59" i="17"/>
  <c r="K59" i="17"/>
  <c r="D128" i="17"/>
  <c r="F128" i="17"/>
  <c r="J128" i="17"/>
  <c r="K128" i="17"/>
  <c r="D88" i="17"/>
  <c r="F88" i="17"/>
  <c r="J88" i="17"/>
  <c r="K88" i="17"/>
  <c r="D153" i="15"/>
  <c r="F153" i="15"/>
  <c r="J153" i="15"/>
  <c r="K153" i="15"/>
  <c r="D45" i="17"/>
  <c r="F45" i="17"/>
  <c r="J45" i="17"/>
  <c r="K45" i="17"/>
  <c r="D156" i="17"/>
  <c r="F156" i="17"/>
  <c r="J156" i="17"/>
  <c r="K156" i="17"/>
  <c r="D138" i="17"/>
  <c r="F138" i="17"/>
  <c r="J138" i="17"/>
  <c r="K138" i="17"/>
  <c r="D35" i="17"/>
  <c r="F35" i="17"/>
  <c r="J35" i="17"/>
  <c r="K35" i="17"/>
  <c r="F63" i="14"/>
  <c r="J63" i="14"/>
  <c r="K63" i="14"/>
  <c r="D288" i="17"/>
  <c r="F288" i="17"/>
  <c r="J288" i="17"/>
  <c r="D151" i="15"/>
  <c r="F151" i="15"/>
  <c r="J151" i="15"/>
  <c r="K151" i="15"/>
  <c r="D151" i="17"/>
  <c r="F151" i="17"/>
  <c r="J151" i="17"/>
  <c r="K151" i="17"/>
  <c r="F67" i="14"/>
  <c r="J67" i="14"/>
  <c r="K67" i="14"/>
  <c r="D289" i="17"/>
  <c r="F289" i="17"/>
  <c r="J289" i="17"/>
  <c r="K289" i="17"/>
  <c r="D291" i="17"/>
  <c r="F291" i="17"/>
  <c r="J291" i="17"/>
  <c r="K291" i="17"/>
  <c r="F14" i="14"/>
  <c r="J14" i="14"/>
  <c r="K14" i="14"/>
  <c r="D152" i="17"/>
  <c r="F152" i="17"/>
  <c r="J152" i="17"/>
  <c r="K152" i="17"/>
  <c r="D79" i="17"/>
  <c r="F79" i="17"/>
  <c r="J79" i="17"/>
  <c r="K79" i="17"/>
  <c r="D62" i="17"/>
  <c r="F62" i="17"/>
  <c r="J62" i="17"/>
  <c r="K62" i="17"/>
  <c r="D143" i="15"/>
  <c r="F143" i="15"/>
  <c r="J143" i="15"/>
  <c r="K143" i="15"/>
  <c r="D108" i="17"/>
  <c r="F108" i="17"/>
  <c r="J108" i="17"/>
  <c r="K108" i="17"/>
  <c r="D38" i="17"/>
  <c r="F38" i="17"/>
  <c r="J38" i="17"/>
  <c r="K38" i="17"/>
  <c r="D157" i="17"/>
  <c r="F157" i="17"/>
  <c r="J157" i="17"/>
  <c r="K157" i="17"/>
  <c r="D85" i="17"/>
  <c r="F85" i="17"/>
  <c r="J85" i="17"/>
  <c r="K85" i="17"/>
  <c r="D26" i="17"/>
  <c r="F26" i="17"/>
  <c r="J26" i="17"/>
  <c r="K26" i="17"/>
  <c r="D143" i="17"/>
  <c r="F143" i="17"/>
  <c r="J143" i="17"/>
  <c r="K143" i="17"/>
  <c r="D23" i="17"/>
  <c r="F23" i="17"/>
  <c r="J23" i="17"/>
  <c r="K23" i="17"/>
  <c r="D113" i="17"/>
  <c r="F113" i="17"/>
  <c r="J113" i="17"/>
  <c r="K113" i="17"/>
  <c r="D67" i="17"/>
  <c r="F67" i="17"/>
  <c r="J67" i="17"/>
  <c r="K67" i="17"/>
  <c r="D50" i="17"/>
  <c r="F50" i="17"/>
  <c r="J50" i="17"/>
  <c r="K50" i="17"/>
  <c r="D20" i="17"/>
  <c r="F20" i="17"/>
  <c r="J20" i="17"/>
  <c r="K20" i="17"/>
  <c r="D120" i="17"/>
  <c r="F120" i="17"/>
  <c r="J120" i="17"/>
  <c r="K120" i="17"/>
  <c r="D32" i="17"/>
  <c r="F32" i="17"/>
  <c r="J32" i="17"/>
  <c r="K32" i="17"/>
  <c r="D29" i="17"/>
  <c r="F29" i="17"/>
  <c r="J29" i="17"/>
  <c r="K29" i="17"/>
  <c r="D291" i="15"/>
  <c r="F291" i="15"/>
  <c r="J291" i="15"/>
  <c r="K291" i="15"/>
  <c r="D290" i="17"/>
  <c r="F290" i="17"/>
  <c r="J290" i="17"/>
  <c r="K290" i="17"/>
  <c r="D292" i="17"/>
  <c r="F292" i="17"/>
  <c r="J292" i="17"/>
  <c r="K292" i="17"/>
  <c r="F84" i="14"/>
  <c r="J84" i="14"/>
  <c r="K84" i="14"/>
  <c r="D173" i="17"/>
  <c r="F173" i="17"/>
  <c r="J173" i="17"/>
  <c r="K173" i="17"/>
  <c r="D102" i="17"/>
  <c r="F102" i="17"/>
  <c r="J102" i="17"/>
  <c r="K102" i="17"/>
  <c r="F94" i="14"/>
  <c r="J94" i="14"/>
  <c r="K94" i="14"/>
  <c r="D87" i="17"/>
  <c r="F87" i="17"/>
  <c r="J87" i="17"/>
  <c r="K87" i="17"/>
  <c r="D55" i="17"/>
  <c r="F55" i="17"/>
  <c r="J55" i="17"/>
  <c r="K55" i="17"/>
  <c r="F95" i="14"/>
  <c r="J95" i="14"/>
  <c r="K95" i="14"/>
  <c r="D52" i="17"/>
  <c r="F52" i="17"/>
  <c r="J52" i="17"/>
  <c r="K52" i="17"/>
  <c r="F88" i="14"/>
  <c r="J88" i="14"/>
  <c r="K88" i="14"/>
  <c r="D179" i="17"/>
  <c r="F179" i="17"/>
  <c r="J179" i="17"/>
  <c r="K179" i="17"/>
  <c r="D78" i="17"/>
  <c r="F78" i="17"/>
  <c r="J78" i="17"/>
  <c r="K78" i="17"/>
  <c r="D61" i="17"/>
  <c r="F61" i="17"/>
  <c r="J61" i="17"/>
  <c r="K61" i="17"/>
  <c r="F100" i="14"/>
  <c r="J100" i="14"/>
  <c r="K100" i="14"/>
  <c r="D189" i="17"/>
  <c r="F189" i="17"/>
  <c r="J189" i="17"/>
  <c r="K189" i="17"/>
  <c r="D25" i="17"/>
  <c r="F25" i="17"/>
  <c r="J25" i="17"/>
  <c r="K25" i="17"/>
  <c r="D140" i="17"/>
  <c r="F140" i="17"/>
  <c r="J140" i="17"/>
  <c r="K140" i="17"/>
  <c r="D64" i="17"/>
  <c r="F64" i="17"/>
  <c r="J64" i="17"/>
  <c r="K64" i="17"/>
  <c r="D34" i="17"/>
  <c r="F34" i="17"/>
  <c r="J34" i="17"/>
  <c r="K34" i="17"/>
  <c r="D28" i="17"/>
  <c r="F28" i="17"/>
  <c r="J28" i="17"/>
  <c r="K28" i="17"/>
  <c r="D19" i="17"/>
  <c r="F19" i="17"/>
  <c r="D119" i="17"/>
  <c r="F119" i="17"/>
  <c r="J119" i="17"/>
  <c r="K119" i="17"/>
  <c r="D47" i="17"/>
  <c r="F47" i="17"/>
  <c r="J47" i="17"/>
  <c r="K47" i="17"/>
  <c r="D126" i="17"/>
  <c r="F126" i="17"/>
  <c r="J126" i="17"/>
  <c r="K126" i="17"/>
  <c r="D82" i="17"/>
  <c r="F82" i="17"/>
  <c r="J82" i="17"/>
  <c r="K82" i="17"/>
  <c r="D112" i="17"/>
  <c r="F112" i="17"/>
  <c r="J112" i="17"/>
  <c r="K112" i="17"/>
  <c r="D40" i="17"/>
  <c r="F40" i="17"/>
  <c r="J40" i="17"/>
  <c r="K40" i="17"/>
  <c r="D31" i="17"/>
  <c r="F31" i="17"/>
  <c r="J31" i="17"/>
  <c r="K31" i="17"/>
  <c r="D93" i="17"/>
  <c r="F93" i="17"/>
  <c r="J93" i="17"/>
  <c r="K93" i="17"/>
  <c r="D75" i="17"/>
  <c r="F75" i="17"/>
  <c r="J75" i="17"/>
  <c r="K75" i="17"/>
  <c r="D72" i="17"/>
  <c r="F72" i="17"/>
  <c r="J72" i="17"/>
  <c r="K72" i="17"/>
  <c r="D90" i="17"/>
  <c r="F90" i="17"/>
  <c r="J90" i="17"/>
  <c r="K90" i="17"/>
  <c r="D185" i="17"/>
  <c r="F185" i="17"/>
  <c r="J185" i="17"/>
  <c r="K185" i="17"/>
  <c r="D44" i="17"/>
  <c r="F44" i="17"/>
  <c r="J44" i="17"/>
  <c r="K44" i="17"/>
  <c r="D137" i="17"/>
  <c r="F137" i="17"/>
  <c r="J137" i="17"/>
  <c r="K137" i="17"/>
  <c r="D175" i="15"/>
  <c r="F175" i="15"/>
  <c r="J175" i="15"/>
  <c r="K175" i="15"/>
  <c r="D99" i="17"/>
  <c r="F99" i="17"/>
  <c r="J99" i="17"/>
  <c r="K99" i="17"/>
  <c r="D244" i="17"/>
  <c r="F244" i="17"/>
  <c r="J244" i="17"/>
  <c r="D175" i="17"/>
  <c r="F175" i="17"/>
  <c r="J175" i="17"/>
  <c r="F98" i="14"/>
  <c r="J98" i="14"/>
  <c r="K98" i="14"/>
  <c r="D37" i="17"/>
  <c r="F37" i="17"/>
  <c r="J37" i="17"/>
  <c r="K37" i="17"/>
  <c r="D96" i="17"/>
  <c r="F96" i="17"/>
  <c r="J96" i="17"/>
  <c r="K96" i="17"/>
  <c r="D177" i="17"/>
  <c r="F177" i="17"/>
  <c r="J177" i="17"/>
  <c r="K177" i="17"/>
  <c r="D69" i="17"/>
  <c r="F69" i="17"/>
  <c r="J69" i="17"/>
  <c r="K69" i="17"/>
  <c r="D181" i="17"/>
  <c r="F181" i="17"/>
  <c r="J181" i="17"/>
  <c r="K181" i="17"/>
  <c r="D58" i="17"/>
  <c r="F58" i="17"/>
  <c r="J58" i="17"/>
  <c r="K58" i="17"/>
  <c r="D107" i="15"/>
  <c r="F107" i="15"/>
  <c r="J107" i="15"/>
  <c r="K107" i="15"/>
  <c r="D187" i="17"/>
  <c r="F187" i="17"/>
  <c r="J187" i="17"/>
  <c r="K187" i="17"/>
  <c r="D83" i="17"/>
  <c r="F83" i="17"/>
  <c r="J83" i="17"/>
  <c r="K83" i="17"/>
  <c r="D41" i="17"/>
  <c r="F41" i="17"/>
  <c r="J41" i="17"/>
  <c r="K41" i="17"/>
  <c r="D127" i="17"/>
  <c r="F127" i="17"/>
  <c r="J127" i="17"/>
  <c r="K127" i="17"/>
  <c r="D183" i="17"/>
  <c r="F183" i="17"/>
  <c r="J183" i="17"/>
  <c r="K183" i="17"/>
  <c r="D22" i="17"/>
  <c r="F22" i="17"/>
  <c r="J22" i="17"/>
  <c r="K22" i="17"/>
  <c r="D107" i="17"/>
  <c r="F107" i="17"/>
  <c r="J107" i="17"/>
  <c r="K107" i="17"/>
  <c r="D65" i="17"/>
  <c r="F65" i="17"/>
  <c r="J65" i="17"/>
  <c r="K65" i="17"/>
  <c r="D141" i="17"/>
  <c r="F141" i="17"/>
  <c r="J141" i="17"/>
  <c r="K141" i="17"/>
  <c r="D48" i="17"/>
  <c r="F48" i="17"/>
  <c r="J48" i="17"/>
  <c r="K48" i="17"/>
  <c r="J242" i="15"/>
  <c r="K242" i="15"/>
  <c r="J27" i="15"/>
  <c r="K27" i="15"/>
  <c r="J36" i="15"/>
  <c r="K36" i="15"/>
  <c r="J46" i="15"/>
  <c r="K46" i="15"/>
  <c r="J101" i="15"/>
  <c r="K101" i="15"/>
  <c r="J201" i="15"/>
  <c r="K201" i="15"/>
  <c r="J203" i="15"/>
  <c r="K203" i="15"/>
  <c r="J207" i="15"/>
  <c r="K207" i="15"/>
  <c r="J209" i="15"/>
  <c r="K209" i="15"/>
  <c r="J213" i="15"/>
  <c r="K213" i="15"/>
  <c r="J217" i="15"/>
  <c r="K217" i="15"/>
  <c r="J249" i="15"/>
  <c r="K249" i="15"/>
  <c r="J252" i="15"/>
  <c r="K252" i="15"/>
  <c r="J255" i="15"/>
  <c r="K255" i="15"/>
  <c r="J266" i="15"/>
  <c r="K266" i="15"/>
  <c r="J269" i="15"/>
  <c r="K269" i="15"/>
  <c r="J272" i="15"/>
  <c r="K272" i="15"/>
  <c r="J276" i="15"/>
  <c r="K276" i="15"/>
  <c r="J279" i="15"/>
  <c r="K279" i="15"/>
  <c r="J292" i="15"/>
  <c r="K292" i="15"/>
  <c r="J302" i="15"/>
  <c r="K302" i="15"/>
  <c r="J305" i="15"/>
  <c r="K305" i="15"/>
  <c r="J308" i="15"/>
  <c r="K308" i="15"/>
  <c r="J313" i="15"/>
  <c r="K313" i="15"/>
  <c r="J316" i="15"/>
  <c r="K316" i="15"/>
  <c r="J111" i="15"/>
  <c r="K111" i="15"/>
  <c r="J116" i="15"/>
  <c r="K116" i="15"/>
  <c r="J235" i="15"/>
  <c r="K235" i="15"/>
  <c r="J13" i="15"/>
  <c r="K13" i="15"/>
  <c r="J172" i="15"/>
  <c r="K172" i="15"/>
  <c r="J178" i="15"/>
  <c r="K178" i="15"/>
  <c r="J184" i="15"/>
  <c r="K184" i="15"/>
  <c r="J219" i="15"/>
  <c r="K219" i="15"/>
  <c r="J222" i="15"/>
  <c r="K222" i="15"/>
  <c r="J230" i="15"/>
  <c r="K230" i="15"/>
  <c r="J246" i="15"/>
  <c r="K246" i="15"/>
  <c r="J110" i="15"/>
  <c r="K110" i="15"/>
  <c r="J106" i="15"/>
  <c r="K106" i="15"/>
  <c r="J109" i="15"/>
  <c r="K109" i="15"/>
  <c r="J18" i="15"/>
  <c r="K18" i="15"/>
  <c r="J71" i="15"/>
  <c r="K71" i="15"/>
  <c r="J86" i="15"/>
  <c r="K86" i="15"/>
  <c r="J240" i="15"/>
  <c r="K240" i="15"/>
  <c r="J250" i="15"/>
  <c r="K250" i="15"/>
  <c r="J253" i="15"/>
  <c r="K253" i="15"/>
  <c r="J256" i="15"/>
  <c r="K256" i="15"/>
  <c r="J262" i="15"/>
  <c r="K262" i="15"/>
  <c r="J264" i="15"/>
  <c r="K264" i="15"/>
  <c r="J267" i="15"/>
  <c r="K267" i="15"/>
  <c r="J280" i="15"/>
  <c r="K280" i="15"/>
  <c r="J283" i="15"/>
  <c r="K283" i="15"/>
  <c r="J300" i="15"/>
  <c r="K300" i="15"/>
  <c r="J303" i="15"/>
  <c r="K303" i="15"/>
  <c r="J306" i="15"/>
  <c r="K306" i="15"/>
  <c r="J309" i="15"/>
  <c r="K309" i="15"/>
  <c r="J314" i="15"/>
  <c r="K314" i="15"/>
  <c r="J318" i="15"/>
  <c r="K318" i="15"/>
  <c r="J16" i="15"/>
  <c r="K16" i="15"/>
  <c r="J21" i="15"/>
  <c r="K21" i="15"/>
  <c r="J39" i="15"/>
  <c r="K39" i="15"/>
  <c r="J51" i="15"/>
  <c r="K51" i="15"/>
  <c r="J63" i="15"/>
  <c r="K63" i="15"/>
  <c r="J74" i="15"/>
  <c r="K74" i="15"/>
  <c r="J89" i="15"/>
  <c r="K89" i="15"/>
  <c r="J98" i="15"/>
  <c r="K98" i="15"/>
  <c r="J146" i="15"/>
  <c r="K146" i="15"/>
  <c r="J149" i="15"/>
  <c r="K149" i="15"/>
  <c r="J162" i="15"/>
  <c r="K162" i="15"/>
  <c r="J165" i="15"/>
  <c r="K165" i="15"/>
  <c r="J182" i="15"/>
  <c r="K182" i="15"/>
  <c r="J200" i="15"/>
  <c r="K200" i="15"/>
  <c r="J202" i="15"/>
  <c r="K202" i="15"/>
  <c r="J204" i="15"/>
  <c r="K204" i="15"/>
  <c r="J206" i="15"/>
  <c r="K206" i="15"/>
  <c r="J208" i="15"/>
  <c r="K208" i="15"/>
  <c r="J216" i="15"/>
  <c r="K216" i="15"/>
  <c r="J218" i="15"/>
  <c r="K218" i="15"/>
  <c r="J221" i="15"/>
  <c r="K221" i="15"/>
  <c r="J229" i="15"/>
  <c r="K229" i="15"/>
  <c r="J319" i="15"/>
  <c r="K319" i="15"/>
  <c r="J198" i="15"/>
  <c r="K198" i="15"/>
  <c r="J243" i="15"/>
  <c r="K243" i="15"/>
  <c r="J236" i="15"/>
  <c r="K236" i="15"/>
  <c r="J130" i="15"/>
  <c r="K130" i="15"/>
  <c r="J277" i="15"/>
  <c r="K277" i="15"/>
  <c r="J275" i="15"/>
  <c r="K275" i="15"/>
  <c r="J273" i="15"/>
  <c r="K273" i="15"/>
  <c r="J270" i="15"/>
  <c r="K270" i="15"/>
  <c r="J215" i="15"/>
  <c r="K215" i="15"/>
  <c r="J25" i="14"/>
  <c r="K25" i="14"/>
  <c r="J77" i="14"/>
  <c r="K77" i="14"/>
  <c r="J39" i="14"/>
  <c r="K39" i="14"/>
  <c r="J120" i="14"/>
  <c r="K120" i="14"/>
  <c r="J31" i="14"/>
  <c r="K31" i="14"/>
  <c r="J78" i="14"/>
  <c r="K78" i="14"/>
  <c r="J34" i="14"/>
  <c r="K34" i="14"/>
  <c r="J23" i="14"/>
  <c r="K23" i="14"/>
  <c r="J29" i="14"/>
  <c r="K29" i="14"/>
  <c r="J10" i="14"/>
  <c r="K10" i="14"/>
  <c r="D58" i="15"/>
  <c r="F58" i="15"/>
  <c r="J58" i="15"/>
  <c r="K58" i="15"/>
  <c r="D76" i="15"/>
  <c r="F76" i="15"/>
  <c r="J76" i="15"/>
  <c r="K76" i="15"/>
  <c r="D94" i="15"/>
  <c r="F94" i="15"/>
  <c r="J94" i="15"/>
  <c r="K94" i="15"/>
  <c r="J36" i="14"/>
  <c r="K36" i="14"/>
  <c r="D20" i="15"/>
  <c r="F20" i="15"/>
  <c r="J20" i="15"/>
  <c r="K20" i="15"/>
  <c r="F68" i="14"/>
  <c r="J68" i="14"/>
  <c r="K68" i="14"/>
  <c r="D289" i="15"/>
  <c r="F289" i="15"/>
  <c r="J289" i="15"/>
  <c r="K289" i="15"/>
  <c r="D140" i="15"/>
  <c r="F140" i="15"/>
  <c r="J140" i="15"/>
  <c r="K140" i="15"/>
  <c r="D78" i="15"/>
  <c r="F78" i="15"/>
  <c r="J78" i="15"/>
  <c r="K78" i="15"/>
  <c r="D173" i="15"/>
  <c r="F173" i="15"/>
  <c r="J173" i="15"/>
  <c r="K173" i="15"/>
  <c r="D61" i="15"/>
  <c r="F61" i="15"/>
  <c r="J61" i="15"/>
  <c r="K61" i="15"/>
  <c r="F12" i="14"/>
  <c r="J12" i="14"/>
  <c r="K12" i="14"/>
  <c r="D108" i="15"/>
  <c r="F108" i="15"/>
  <c r="J108" i="15"/>
  <c r="K108" i="15"/>
  <c r="D22" i="15"/>
  <c r="F22" i="15"/>
  <c r="J22" i="15"/>
  <c r="K22" i="15"/>
  <c r="D113" i="15"/>
  <c r="F113" i="15"/>
  <c r="J113" i="15"/>
  <c r="K113" i="15"/>
  <c r="D26" i="15"/>
  <c r="F26" i="15"/>
  <c r="J26" i="15"/>
  <c r="K26" i="15"/>
  <c r="D19" i="15"/>
  <c r="F19" i="15"/>
  <c r="J19" i="15"/>
  <c r="K19" i="15"/>
  <c r="D179" i="15"/>
  <c r="F179" i="15"/>
  <c r="J179" i="15"/>
  <c r="K179" i="15"/>
  <c r="D50" i="15"/>
  <c r="F50" i="15"/>
  <c r="J50" i="15"/>
  <c r="K50" i="15"/>
  <c r="D23" i="15"/>
  <c r="F23" i="15"/>
  <c r="J23" i="15"/>
  <c r="K23" i="15"/>
  <c r="D31" i="15"/>
  <c r="F31" i="15"/>
  <c r="J31" i="15"/>
  <c r="K31" i="15"/>
  <c r="F19" i="14"/>
  <c r="J19" i="14"/>
  <c r="K19" i="14"/>
  <c r="D38" i="15"/>
  <c r="F38" i="15"/>
  <c r="J38" i="15"/>
  <c r="K38" i="15"/>
  <c r="D67" i="15"/>
  <c r="F67" i="15"/>
  <c r="J67" i="15"/>
  <c r="K67" i="15"/>
  <c r="D157" i="15"/>
  <c r="F157" i="15"/>
  <c r="J157" i="15"/>
  <c r="K157" i="15"/>
  <c r="D47" i="15"/>
  <c r="F47" i="15"/>
  <c r="J47" i="15"/>
  <c r="K47" i="15"/>
  <c r="D112" i="15"/>
  <c r="F112" i="15"/>
  <c r="J112" i="15"/>
  <c r="K112" i="15"/>
  <c r="D34" i="15"/>
  <c r="F34" i="15"/>
  <c r="J34" i="15"/>
  <c r="K34" i="15"/>
  <c r="D40" i="15"/>
  <c r="F40" i="15"/>
  <c r="J40" i="15"/>
  <c r="K40" i="15"/>
  <c r="D126" i="15"/>
  <c r="F126" i="15"/>
  <c r="J126" i="15"/>
  <c r="K126" i="15"/>
  <c r="D25" i="15"/>
  <c r="F25" i="15"/>
  <c r="J25" i="15"/>
  <c r="K25" i="15"/>
  <c r="D28" i="15"/>
  <c r="F28" i="15"/>
  <c r="J28" i="15"/>
  <c r="K28" i="15"/>
  <c r="D119" i="15"/>
  <c r="F119" i="15"/>
  <c r="J119" i="15"/>
  <c r="K119" i="15"/>
  <c r="D64" i="15"/>
  <c r="F64" i="15"/>
  <c r="J64" i="15"/>
  <c r="K64" i="15"/>
  <c r="D189" i="15"/>
  <c r="F189" i="15"/>
  <c r="J189" i="15"/>
  <c r="K189" i="15"/>
  <c r="D69" i="15"/>
  <c r="F69" i="15"/>
  <c r="J69" i="15"/>
  <c r="K69" i="15"/>
  <c r="J237" i="15"/>
  <c r="K237" i="15"/>
  <c r="J239" i="15"/>
  <c r="K239" i="15"/>
  <c r="J196" i="15"/>
  <c r="K196" i="15"/>
  <c r="F115" i="14"/>
  <c r="D53" i="15"/>
  <c r="F53" i="15"/>
  <c r="J53" i="15"/>
  <c r="K53" i="15"/>
  <c r="F118" i="14"/>
  <c r="J118" i="14"/>
  <c r="K118" i="14"/>
  <c r="D120" i="15"/>
  <c r="F120" i="15"/>
  <c r="J120" i="15"/>
  <c r="K120" i="15"/>
  <c r="D29" i="15"/>
  <c r="F29" i="15"/>
  <c r="J29" i="15"/>
  <c r="K29" i="15"/>
  <c r="J115" i="15"/>
  <c r="K115" i="15"/>
  <c r="J118" i="15"/>
  <c r="K118" i="15"/>
  <c r="J125" i="15"/>
  <c r="K125" i="15"/>
  <c r="D59" i="15"/>
  <c r="F59" i="15"/>
  <c r="J59" i="15"/>
  <c r="K59" i="15"/>
  <c r="D155" i="15"/>
  <c r="F155" i="15"/>
  <c r="J155" i="15"/>
  <c r="K155" i="15"/>
  <c r="F16" i="14"/>
  <c r="J16" i="14"/>
  <c r="K16" i="14"/>
  <c r="D56" i="15"/>
  <c r="F56" i="15"/>
  <c r="J56" i="15"/>
  <c r="K56" i="15"/>
  <c r="D70" i="15"/>
  <c r="F70" i="15"/>
  <c r="J70" i="15"/>
  <c r="K70" i="15"/>
  <c r="D55" i="15"/>
  <c r="F55" i="15"/>
  <c r="J55" i="15"/>
  <c r="K55" i="15"/>
  <c r="D128" i="15"/>
  <c r="F128" i="15"/>
  <c r="J128" i="15"/>
  <c r="K128" i="15"/>
  <c r="D52" i="15"/>
  <c r="F52" i="15"/>
  <c r="J52" i="15"/>
  <c r="K52" i="15"/>
  <c r="D88" i="15"/>
  <c r="F88" i="15"/>
  <c r="J88" i="15"/>
  <c r="K88" i="15"/>
  <c r="D32" i="15"/>
  <c r="F32" i="15"/>
  <c r="J32" i="15"/>
  <c r="K32" i="15"/>
  <c r="I8" i="13"/>
  <c r="J8" i="13"/>
  <c r="J42" i="14"/>
  <c r="K42" i="14"/>
  <c r="F97" i="14"/>
  <c r="J97" i="14"/>
  <c r="K97" i="14"/>
  <c r="D185" i="15"/>
  <c r="F185" i="15"/>
  <c r="J185" i="15"/>
  <c r="K185" i="15"/>
  <c r="J168" i="15"/>
  <c r="K168" i="15"/>
  <c r="J171" i="15"/>
  <c r="K171" i="15"/>
  <c r="J214" i="15"/>
  <c r="K214" i="15"/>
  <c r="D150" i="15"/>
  <c r="F150" i="15"/>
  <c r="J150" i="15"/>
  <c r="K150" i="15"/>
  <c r="F11" i="14"/>
  <c r="J11" i="14"/>
  <c r="K11" i="14"/>
  <c r="D102" i="15"/>
  <c r="F102" i="15"/>
  <c r="J102" i="15"/>
  <c r="K102" i="15"/>
  <c r="D138" i="15"/>
  <c r="F138" i="15"/>
  <c r="J138" i="15"/>
  <c r="K138" i="15"/>
  <c r="D35" i="15"/>
  <c r="F35" i="15"/>
  <c r="J35" i="15"/>
  <c r="K35" i="15"/>
  <c r="F17" i="14"/>
  <c r="J17" i="14"/>
  <c r="K17" i="14"/>
  <c r="D288" i="15"/>
  <c r="F288" i="15"/>
  <c r="J288" i="15"/>
  <c r="K288" i="15"/>
  <c r="F90" i="14"/>
  <c r="J90" i="14"/>
  <c r="K90" i="14"/>
  <c r="D93" i="15"/>
  <c r="F93" i="15"/>
  <c r="J93" i="15"/>
  <c r="K93" i="15"/>
  <c r="D75" i="15"/>
  <c r="F75" i="15"/>
  <c r="J75" i="15"/>
  <c r="K75" i="15"/>
  <c r="D49" i="15"/>
  <c r="F49" i="15"/>
  <c r="J49" i="15"/>
  <c r="K49" i="15"/>
  <c r="D87" i="15"/>
  <c r="F87" i="15"/>
  <c r="J87" i="15"/>
  <c r="K87" i="15"/>
  <c r="D66" i="15"/>
  <c r="F66" i="15"/>
  <c r="J66" i="15"/>
  <c r="K66" i="15"/>
  <c r="J17" i="15"/>
  <c r="K17" i="15"/>
  <c r="J43" i="15"/>
  <c r="K43" i="15"/>
  <c r="J57" i="15"/>
  <c r="K57" i="15"/>
  <c r="J251" i="15"/>
  <c r="K251" i="15"/>
  <c r="J257" i="15"/>
  <c r="K257" i="15"/>
  <c r="J33" i="15"/>
  <c r="K33" i="15"/>
  <c r="J68" i="15"/>
  <c r="K68" i="15"/>
  <c r="J92" i="15"/>
  <c r="K92" i="15"/>
  <c r="J147" i="15"/>
  <c r="K147" i="15"/>
  <c r="J254" i="15"/>
  <c r="K254" i="15"/>
  <c r="J265" i="15"/>
  <c r="K265" i="15"/>
  <c r="J271" i="15"/>
  <c r="K271" i="15"/>
  <c r="J284" i="15"/>
  <c r="K284" i="15"/>
  <c r="J301" i="15"/>
  <c r="K301" i="15"/>
  <c r="J307" i="15"/>
  <c r="K307" i="15"/>
  <c r="J315" i="15"/>
  <c r="K315" i="15"/>
  <c r="J49" i="14"/>
  <c r="K49" i="14"/>
  <c r="J55" i="14"/>
  <c r="K55" i="14"/>
  <c r="J54" i="15"/>
  <c r="K54" i="15"/>
  <c r="J245" i="15"/>
  <c r="K245" i="15"/>
  <c r="M218" i="15"/>
  <c r="M219" i="15"/>
  <c r="M220" i="15"/>
  <c r="D192" i="15"/>
  <c r="F192" i="15"/>
  <c r="J192" i="15"/>
  <c r="K192" i="15"/>
  <c r="J134" i="15"/>
  <c r="K134" i="15"/>
  <c r="J139" i="15"/>
  <c r="K139" i="15"/>
  <c r="J144" i="15"/>
  <c r="K144" i="15"/>
  <c r="F86" i="14"/>
  <c r="J86" i="14"/>
  <c r="K86" i="14"/>
  <c r="D244" i="15"/>
  <c r="F244" i="15"/>
  <c r="J244" i="15"/>
  <c r="K244" i="15"/>
  <c r="J100" i="15"/>
  <c r="K100" i="15"/>
  <c r="J263" i="15"/>
  <c r="K263" i="15"/>
  <c r="J274" i="15"/>
  <c r="K274" i="15"/>
  <c r="J296" i="15"/>
  <c r="K296" i="15"/>
  <c r="J304" i="15"/>
  <c r="K304" i="15"/>
  <c r="D99" i="15"/>
  <c r="F99" i="15"/>
  <c r="J99" i="15"/>
  <c r="K99" i="15"/>
  <c r="I14" i="13"/>
  <c r="J14" i="13"/>
  <c r="J97" i="15"/>
  <c r="K97" i="15"/>
  <c r="J129" i="15"/>
  <c r="K129" i="15"/>
  <c r="J40" i="14"/>
  <c r="K40" i="14"/>
  <c r="J43" i="14"/>
  <c r="K43" i="14"/>
  <c r="J59" i="14"/>
  <c r="K59" i="14"/>
  <c r="J65" i="14"/>
  <c r="K65" i="14"/>
  <c r="D37" i="15"/>
  <c r="F37" i="15"/>
  <c r="J37" i="15"/>
  <c r="K37" i="15"/>
  <c r="D96" i="15"/>
  <c r="F96" i="15"/>
  <c r="J96" i="15"/>
  <c r="K96" i="15"/>
  <c r="I15" i="13"/>
  <c r="J15" i="13"/>
  <c r="I20" i="13"/>
  <c r="J20" i="13"/>
  <c r="I23" i="13"/>
  <c r="J23" i="13"/>
  <c r="I26" i="13"/>
  <c r="J26" i="13"/>
  <c r="I29" i="13"/>
  <c r="J29" i="13"/>
  <c r="I32" i="13"/>
  <c r="J32" i="13"/>
  <c r="I35" i="13"/>
  <c r="J35" i="13"/>
  <c r="I38" i="13"/>
  <c r="J38" i="13"/>
  <c r="I41" i="13"/>
  <c r="J41" i="13"/>
  <c r="I44" i="13"/>
  <c r="J44" i="13"/>
  <c r="I47" i="13"/>
  <c r="J47" i="13"/>
  <c r="I50" i="13"/>
  <c r="J50" i="13"/>
  <c r="I53" i="13"/>
  <c r="J53" i="13"/>
  <c r="I56" i="13"/>
  <c r="J56" i="13"/>
  <c r="I59" i="13"/>
  <c r="J59" i="13"/>
  <c r="J89" i="14"/>
  <c r="K89" i="14"/>
  <c r="J108" i="14"/>
  <c r="K108" i="14"/>
  <c r="J111" i="14"/>
  <c r="K111" i="14"/>
  <c r="J114" i="14"/>
  <c r="K114" i="14"/>
  <c r="J117" i="14"/>
  <c r="K117" i="14"/>
  <c r="F91" i="14"/>
  <c r="J91" i="14"/>
  <c r="K91" i="14"/>
  <c r="D72" i="15"/>
  <c r="F72" i="15"/>
  <c r="J72" i="15"/>
  <c r="K72" i="15"/>
  <c r="D141" i="15"/>
  <c r="F141" i="15"/>
  <c r="J141" i="15"/>
  <c r="K141" i="15"/>
  <c r="D187" i="15"/>
  <c r="F187" i="15"/>
  <c r="J187" i="15"/>
  <c r="K187" i="15"/>
  <c r="I7" i="13"/>
  <c r="J7" i="13"/>
  <c r="F87" i="14"/>
  <c r="J87" i="14"/>
  <c r="K87" i="14"/>
  <c r="D177" i="15"/>
  <c r="F177" i="15"/>
  <c r="J177" i="15"/>
  <c r="K177" i="15"/>
  <c r="E61" i="13"/>
  <c r="J6" i="13"/>
  <c r="F99" i="14"/>
  <c r="J99" i="14"/>
  <c r="K99" i="14"/>
  <c r="D48" i="15"/>
  <c r="F48" i="15"/>
  <c r="J48" i="15"/>
  <c r="K48" i="15"/>
  <c r="D127" i="15"/>
  <c r="F127" i="15"/>
  <c r="J127" i="15"/>
  <c r="K127" i="15"/>
  <c r="D137" i="15"/>
  <c r="F137" i="15"/>
  <c r="J137" i="15"/>
  <c r="K137" i="15"/>
  <c r="D90" i="15"/>
  <c r="F90" i="15"/>
  <c r="J90" i="15"/>
  <c r="K90" i="15"/>
  <c r="H17" i="13"/>
  <c r="I17" i="13"/>
  <c r="J17" i="13"/>
  <c r="J37" i="14"/>
  <c r="K37" i="14"/>
  <c r="J51" i="14"/>
  <c r="K51" i="14"/>
  <c r="M242" i="15"/>
  <c r="M243" i="15"/>
  <c r="M244" i="15"/>
  <c r="D233" i="15"/>
  <c r="F233" i="15"/>
  <c r="J233" i="15"/>
  <c r="K233" i="15"/>
  <c r="J72" i="14"/>
  <c r="K72" i="14"/>
  <c r="F93" i="14"/>
  <c r="J93" i="14"/>
  <c r="K93" i="14"/>
  <c r="D181" i="15"/>
  <c r="F181" i="15"/>
  <c r="J181" i="15"/>
  <c r="K181" i="15"/>
  <c r="D65" i="15"/>
  <c r="F65" i="15"/>
  <c r="J65" i="15"/>
  <c r="K65" i="15"/>
  <c r="D183" i="15"/>
  <c r="F183" i="15"/>
  <c r="J183" i="15"/>
  <c r="K183" i="15"/>
  <c r="D41" i="15"/>
  <c r="F41" i="15"/>
  <c r="J41" i="15"/>
  <c r="K41" i="15"/>
  <c r="I124" i="14"/>
  <c r="I126" i="14"/>
  <c r="D129" i="14"/>
  <c r="J92" i="14"/>
  <c r="K92" i="14"/>
  <c r="J24" i="14"/>
  <c r="K24" i="14"/>
  <c r="J30" i="14"/>
  <c r="K30" i="14"/>
  <c r="J50" i="14"/>
  <c r="K50" i="14"/>
  <c r="J64" i="14"/>
  <c r="K64" i="14"/>
  <c r="J110" i="14"/>
  <c r="K110" i="14"/>
  <c r="J113" i="14"/>
  <c r="K113" i="14"/>
  <c r="J116" i="14"/>
  <c r="K116" i="14"/>
  <c r="J119" i="14"/>
  <c r="K119" i="14"/>
  <c r="J26" i="14"/>
  <c r="K26" i="14"/>
  <c r="J38" i="14"/>
  <c r="K38" i="14"/>
  <c r="J46" i="14"/>
  <c r="K46" i="14"/>
  <c r="J52" i="14"/>
  <c r="K52" i="14"/>
  <c r="J60" i="14"/>
  <c r="K60" i="14"/>
  <c r="J66" i="14"/>
  <c r="K66" i="14"/>
  <c r="J101" i="14"/>
  <c r="K101" i="14"/>
  <c r="J282" i="15"/>
  <c r="K282" i="15"/>
  <c r="J297" i="15"/>
  <c r="K297" i="15"/>
  <c r="J27" i="14"/>
  <c r="K27" i="14"/>
  <c r="J47" i="14"/>
  <c r="K47" i="14"/>
  <c r="J53" i="14"/>
  <c r="K53" i="14"/>
  <c r="J61" i="14"/>
  <c r="K61" i="14"/>
  <c r="J105" i="15"/>
  <c r="K105" i="15"/>
  <c r="J135" i="15"/>
  <c r="K135" i="15"/>
  <c r="J145" i="15"/>
  <c r="K145" i="15"/>
  <c r="J83" i="14"/>
  <c r="K83" i="14"/>
  <c r="J96" i="14"/>
  <c r="K96" i="14"/>
  <c r="J22" i="14"/>
  <c r="K22" i="14"/>
  <c r="J28" i="14"/>
  <c r="K28" i="14"/>
  <c r="J48" i="14"/>
  <c r="K48" i="14"/>
  <c r="J54" i="14"/>
  <c r="K54" i="14"/>
  <c r="J62" i="14"/>
  <c r="K62" i="14"/>
  <c r="J109" i="14"/>
  <c r="K109" i="14"/>
  <c r="J112" i="14"/>
  <c r="K112" i="14"/>
  <c r="J115" i="14"/>
  <c r="K115" i="14"/>
  <c r="D84" i="15"/>
  <c r="F84" i="15"/>
  <c r="J84" i="15"/>
  <c r="K84" i="15"/>
  <c r="D287" i="15"/>
  <c r="F287" i="15"/>
  <c r="J287" i="15"/>
  <c r="K287" i="15"/>
  <c r="D290" i="15"/>
  <c r="F290" i="15"/>
  <c r="J290" i="15"/>
  <c r="K290" i="15"/>
  <c r="F13" i="14"/>
  <c r="J13" i="14"/>
  <c r="K13" i="14"/>
  <c r="D152" i="15"/>
  <c r="F152" i="15"/>
  <c r="J152" i="15"/>
  <c r="K152" i="15"/>
  <c r="D91" i="15"/>
  <c r="F91" i="15"/>
  <c r="J91" i="15"/>
  <c r="K91" i="15"/>
  <c r="D44" i="15"/>
  <c r="F44" i="15"/>
  <c r="J44" i="15"/>
  <c r="K44" i="15"/>
  <c r="J160" i="15"/>
  <c r="K160" i="15"/>
  <c r="J169" i="15"/>
  <c r="K169" i="15"/>
  <c r="J176" i="15"/>
  <c r="K176" i="15"/>
  <c r="J194" i="15"/>
  <c r="K194" i="15"/>
  <c r="J199" i="15"/>
  <c r="K199" i="15"/>
  <c r="J211" i="15"/>
  <c r="K211" i="15"/>
  <c r="K12" i="15"/>
  <c r="J156" i="15"/>
  <c r="K156" i="15"/>
  <c r="J210" i="15"/>
  <c r="K210" i="15"/>
  <c r="J154" i="15"/>
  <c r="K154" i="15"/>
  <c r="J104" i="15"/>
  <c r="K104" i="15"/>
  <c r="J133" i="15"/>
  <c r="K133" i="15"/>
  <c r="J124" i="15"/>
  <c r="K124" i="15"/>
  <c r="J131" i="15"/>
  <c r="K131" i="15"/>
  <c r="I322" i="15"/>
  <c r="D317" i="15"/>
  <c r="F317" i="15"/>
  <c r="D79" i="15"/>
  <c r="F79" i="15"/>
  <c r="J79" i="15"/>
  <c r="K79" i="15"/>
  <c r="J18" i="14"/>
  <c r="K18" i="14"/>
  <c r="D85" i="15"/>
  <c r="F85" i="15"/>
  <c r="J85" i="15"/>
  <c r="K85" i="15"/>
  <c r="D83" i="15"/>
  <c r="F83" i="15"/>
  <c r="J83" i="15"/>
  <c r="K83" i="15"/>
  <c r="D82" i="15"/>
  <c r="F82" i="15"/>
  <c r="J82" i="15"/>
  <c r="K82" i="15"/>
  <c r="B11" i="15"/>
  <c r="K288" i="17"/>
  <c r="B287" i="17"/>
  <c r="K175" i="17"/>
  <c r="B159" i="17"/>
  <c r="J19" i="17"/>
  <c r="F323" i="17"/>
  <c r="K244" i="17"/>
  <c r="B232" i="17"/>
  <c r="B295" i="15"/>
  <c r="B299" i="15"/>
  <c r="F124" i="14"/>
  <c r="F125" i="14"/>
  <c r="F126" i="14"/>
  <c r="D128" i="14"/>
  <c r="D130" i="14"/>
  <c r="B232" i="15"/>
  <c r="I63" i="13"/>
  <c r="E62" i="13"/>
  <c r="E63" i="13"/>
  <c r="C64" i="13"/>
  <c r="H61" i="13"/>
  <c r="H63" i="13"/>
  <c r="C65" i="13"/>
  <c r="B248" i="15"/>
  <c r="B191" i="15"/>
  <c r="B286" i="15"/>
  <c r="B159" i="15"/>
  <c r="I324" i="15"/>
  <c r="D327" i="15"/>
  <c r="J317" i="15"/>
  <c r="J321" i="15"/>
  <c r="F322" i="15"/>
  <c r="F323" i="15"/>
  <c r="F324" i="15"/>
  <c r="D326" i="15"/>
  <c r="J123" i="14"/>
  <c r="B15" i="15"/>
  <c r="F324" i="17"/>
  <c r="F325" i="17"/>
  <c r="D327" i="17"/>
  <c r="D329" i="17"/>
  <c r="K19" i="17"/>
  <c r="B15" i="17"/>
  <c r="B322" i="17"/>
  <c r="J322" i="17"/>
  <c r="C66" i="13"/>
  <c r="D328" i="15"/>
  <c r="D329" i="15"/>
  <c r="D331" i="15"/>
  <c r="C53" i="6"/>
  <c r="C67" i="13"/>
  <c r="C68" i="13"/>
  <c r="C71" i="13"/>
  <c r="K317" i="15"/>
  <c r="B312" i="15"/>
  <c r="B321" i="15"/>
  <c r="D131" i="14"/>
  <c r="D133" i="14"/>
  <c r="F131" i="14"/>
  <c r="D330" i="17"/>
  <c r="D332" i="17"/>
  <c r="F330" i="17"/>
  <c r="F329" i="15"/>
  <c r="C72" i="13"/>
  <c r="C73" i="13"/>
  <c r="C75" i="13"/>
</calcChain>
</file>

<file path=xl/sharedStrings.xml><?xml version="1.0" encoding="utf-8"?>
<sst xmlns="http://schemas.openxmlformats.org/spreadsheetml/2006/main" count="2559" uniqueCount="543">
  <si>
    <t>C</t>
  </si>
  <si>
    <t>E</t>
  </si>
  <si>
    <t>SUBTOTAL</t>
  </si>
  <si>
    <t xml:space="preserve">          TAX/LABOR RATE</t>
  </si>
  <si>
    <t>DATE:</t>
  </si>
  <si>
    <t>Prepared BY</t>
  </si>
  <si>
    <t>MATERIAL</t>
  </si>
  <si>
    <t>QTY</t>
  </si>
  <si>
    <t>MAT UNIT</t>
  </si>
  <si>
    <t>per</t>
  </si>
  <si>
    <t xml:space="preserve">EXTENSION </t>
  </si>
  <si>
    <t>LBR UNIT</t>
  </si>
  <si>
    <t>EXTENSION</t>
  </si>
  <si>
    <t>TOTAL MATERIAL</t>
  </si>
  <si>
    <t>TOTAL LABOR</t>
  </si>
  <si>
    <t>OVERHEAD/Profit</t>
  </si>
  <si>
    <t>TOTAL</t>
  </si>
  <si>
    <t xml:space="preserve">Project# </t>
  </si>
  <si>
    <t>$/SQFT</t>
  </si>
  <si>
    <t>$$/QTY</t>
  </si>
  <si>
    <t>GENERAL CONDITIONS</t>
  </si>
  <si>
    <t>We have included the following items in our proposal.</t>
  </si>
  <si>
    <t>Our price for this Work:</t>
  </si>
  <si>
    <t>Items not included in our proposal are as follows:</t>
  </si>
  <si>
    <t>TEMP POWER</t>
  </si>
  <si>
    <t>ComEd pad</t>
  </si>
  <si>
    <t>RE:</t>
  </si>
  <si>
    <t xml:space="preserve">Engineered Permit Drawings </t>
  </si>
  <si>
    <t>Tools &amp; Supervision</t>
  </si>
  <si>
    <t>Rental Equipment</t>
  </si>
  <si>
    <t>Fire Alarm Control Panel</t>
  </si>
  <si>
    <t>Duct Detector</t>
  </si>
  <si>
    <t>Flow/Tamper connection</t>
  </si>
  <si>
    <t>ELECTRICAL SERVICE &amp; DISTRIBUTION</t>
  </si>
  <si>
    <t>INTERIOR LIGHTING</t>
  </si>
  <si>
    <t>GENERAL POWER &amp; RECEPTACLES</t>
  </si>
  <si>
    <t>SITE CONDUITS</t>
  </si>
  <si>
    <t xml:space="preserve">Pull Station </t>
  </si>
  <si>
    <t>Power Booster</t>
  </si>
  <si>
    <t xml:space="preserve">Temp power from ComEd permanent power </t>
  </si>
  <si>
    <t>Hook up of construction trailer</t>
  </si>
  <si>
    <t>KM</t>
  </si>
  <si>
    <t>-</t>
  </si>
  <si>
    <t>Any coring, sawcutting, or patching is excluded unless noted above.</t>
  </si>
  <si>
    <t>Concrete encasements and pads have been excluded unless noted.</t>
  </si>
  <si>
    <t>Mechanical equipment, starters, or like materials associated with equipment unless noted otherwise</t>
  </si>
  <si>
    <t>Premium time is excluded.</t>
  </si>
  <si>
    <t>Additional Labor and Material authorized by code/village inspector and authorities.</t>
  </si>
  <si>
    <t>All heating and cooling units and associated devices are excluded.</t>
  </si>
  <si>
    <t>Permit or bond fees.</t>
  </si>
  <si>
    <t>Excess utility company facility charges.</t>
  </si>
  <si>
    <t>Spoil removal</t>
  </si>
  <si>
    <t>Any low voltage cabling, equipment, or devices whatsoever, except fire alarm.</t>
  </si>
  <si>
    <t>Any temperature control wiring, starters, or mechanical equipment</t>
  </si>
  <si>
    <t>Dumpster fees</t>
  </si>
  <si>
    <t>Best Regards,</t>
  </si>
  <si>
    <t>MECHANICAL CONNECTIONS</t>
  </si>
  <si>
    <t>Electric water heaters</t>
  </si>
  <si>
    <t>EXTERIOR LIGHTING</t>
  </si>
  <si>
    <t>Contactor, Time Clock, Photocell</t>
  </si>
  <si>
    <t>Fire Alarm Bell</t>
  </si>
  <si>
    <t>Any site sleeving is excluded</t>
  </si>
  <si>
    <t>WP/GFI Receptacle (roof)</t>
  </si>
  <si>
    <t>Hydraulic elevator</t>
  </si>
  <si>
    <t>Jockey pump</t>
  </si>
  <si>
    <t>Duplex Receptacle (warehouse docks)</t>
  </si>
  <si>
    <t>Dock Light (warehouse)</t>
  </si>
  <si>
    <t>Dock Light (Warehouse - FBO)</t>
  </si>
  <si>
    <t>Double Duplex Receptacle (warehouse docks)</t>
  </si>
  <si>
    <t xml:space="preserve">Project </t>
  </si>
  <si>
    <t>FEEDER (ft)</t>
  </si>
  <si>
    <t>100A 120/208V., 3PH Panelboard w/ feed</t>
  </si>
  <si>
    <t>100A 277/480V., 3PH Panelboard w/ feed</t>
  </si>
  <si>
    <t>200A 277/480V., 3PH Panelboard w/ feed</t>
  </si>
  <si>
    <t>45KVA transformer</t>
  </si>
  <si>
    <t xml:space="preserve">30KVA transformer </t>
  </si>
  <si>
    <t>4000A., 277/480V., 3PH. Main switchboard w/ meter</t>
  </si>
  <si>
    <t>3000A., 277/480V., 3PH. Main switchboard w/ meter</t>
  </si>
  <si>
    <t>2000A., 277/480V., 3PH. Main switchboard w/ meter</t>
  </si>
  <si>
    <t>1600A., 277/480V., 3PH. Main switchboard w/ meter</t>
  </si>
  <si>
    <t>Office sf</t>
  </si>
  <si>
    <t>Warehouse sf</t>
  </si>
  <si>
    <t>Total sf</t>
  </si>
  <si>
    <t>Lot</t>
  </si>
  <si>
    <t>1000A., 277/480V., 3PH. Main distribution board w/ ct/meter</t>
  </si>
  <si>
    <t>1200A., 277/480V., 3PH. Main distribution board w/ ct/meter</t>
  </si>
  <si>
    <t>2500A., 277/480V., 3PH. Main switchboard w/ meter</t>
  </si>
  <si>
    <t>Sump Pump</t>
  </si>
  <si>
    <t>Single Pole Switch</t>
  </si>
  <si>
    <t>Three way Switch</t>
  </si>
  <si>
    <t xml:space="preserve">15KVA transformer </t>
  </si>
  <si>
    <t>Trenching with spoils backfill</t>
  </si>
  <si>
    <t>Empty 5" PVC conduit feed</t>
  </si>
  <si>
    <t>(2) Empty 5" PVC conduit feed</t>
  </si>
  <si>
    <t>Audio visual</t>
  </si>
  <si>
    <t>Visual</t>
  </si>
  <si>
    <t>Exit/ Emergency light combo (warehouse)</t>
  </si>
  <si>
    <t>600A., 277/480V., 3PH. Main distribution board w/ ct/meter</t>
  </si>
  <si>
    <t>Furniture Tele/data feed (Floor)</t>
  </si>
  <si>
    <t>Furniture tele/data feed (Wall)</t>
  </si>
  <si>
    <t>Furniture power feed (Floor)</t>
  </si>
  <si>
    <t>Furniture power feed (Wall)</t>
  </si>
  <si>
    <t>Power pole</t>
  </si>
  <si>
    <t>Wall Sconce</t>
  </si>
  <si>
    <t>Knox Box</t>
  </si>
  <si>
    <t>400A CT Meter</t>
  </si>
  <si>
    <t>We have prepared an electrical estimate regarding the above project.</t>
  </si>
  <si>
    <t>ABCO Electrical Construction and Design</t>
  </si>
  <si>
    <t>200A Equipment connection</t>
  </si>
  <si>
    <t>400A Equipment connection</t>
  </si>
  <si>
    <t>1200A.Equipment connection</t>
  </si>
  <si>
    <t>800A.Equipment connection</t>
  </si>
  <si>
    <t>600A.Equipment connection</t>
  </si>
  <si>
    <t>100A Equipment connection</t>
  </si>
  <si>
    <t>Flag Pole Lighting</t>
  </si>
  <si>
    <t>Site Signage</t>
  </si>
  <si>
    <t>Card Access Conduits and power</t>
  </si>
  <si>
    <t>SECURITY</t>
  </si>
  <si>
    <t xml:space="preserve">FIRE ALARM SYSTEM </t>
  </si>
  <si>
    <t>Exterior Camera Conduits and power</t>
  </si>
  <si>
    <t>Bollard</t>
  </si>
  <si>
    <t>Exit light (warehouse)</t>
  </si>
  <si>
    <t>Remote Head WP</t>
  </si>
  <si>
    <t>Double Duplex Receptacle (warehouse columns)</t>
  </si>
  <si>
    <t>Dock Levelers</t>
  </si>
  <si>
    <t>Microwave receptacles</t>
  </si>
  <si>
    <t>Vending Machine receptacle</t>
  </si>
  <si>
    <t>Dishwasher</t>
  </si>
  <si>
    <t>Empty 4" PVC conduit feed Tele/Data (ft.)</t>
  </si>
  <si>
    <t>(2) Empty 4" PVC Conduit feed ComEd (ft.)</t>
  </si>
  <si>
    <t xml:space="preserve">Over Head Door with disconnect </t>
  </si>
  <si>
    <t>Duplex Receptacle (warehouse)</t>
  </si>
  <si>
    <t>Make Up Air Units - gas (warehouse)</t>
  </si>
  <si>
    <t>Roof Top Unit - gas (office)</t>
  </si>
  <si>
    <t>Unit Heater (gas)</t>
  </si>
  <si>
    <t>Electric Wall heater (FBO)</t>
  </si>
  <si>
    <t>Toilet Exhaust (FBO)</t>
  </si>
  <si>
    <t>Baseboard Heater (FBO)</t>
  </si>
  <si>
    <t>Est#</t>
  </si>
  <si>
    <t>Job Name</t>
  </si>
  <si>
    <t>Job Location</t>
  </si>
  <si>
    <t>G.C.</t>
  </si>
  <si>
    <t>Contact Name</t>
  </si>
  <si>
    <t>Telephone  - Fax</t>
  </si>
  <si>
    <t>Todays Date</t>
  </si>
  <si>
    <t>Exhaust Fan with Interlock Conduit</t>
  </si>
  <si>
    <t>wire way</t>
  </si>
  <si>
    <t>Office Stub</t>
  </si>
  <si>
    <t>Emergency Light (warehouse)</t>
  </si>
  <si>
    <t>Dimmer</t>
  </si>
  <si>
    <t>Copier</t>
  </si>
  <si>
    <t>Dock Restraints</t>
  </si>
  <si>
    <t>Our proposal is based on information and drawings provided.</t>
  </si>
  <si>
    <t>KM05</t>
  </si>
  <si>
    <t>GFI Receptacle (warehouse toilet)</t>
  </si>
  <si>
    <t>CU   feed (ft)</t>
  </si>
  <si>
    <t>AL   feed (ft)</t>
  </si>
  <si>
    <t>Empty 3/4" C</t>
  </si>
  <si>
    <t>Empty 1" C</t>
  </si>
  <si>
    <t>Empty 2-1/2" C</t>
  </si>
  <si>
    <t>Empty 3" C</t>
  </si>
  <si>
    <t>Empty 4" C</t>
  </si>
  <si>
    <t>30A Equipment connection</t>
  </si>
  <si>
    <t>60A Equipment connection</t>
  </si>
  <si>
    <t>CA-6 Backfill as needed</t>
  </si>
  <si>
    <t>200 Amp Fire pump w/ 30' feed and meter</t>
  </si>
  <si>
    <t>Motion Sensor (Wall)</t>
  </si>
  <si>
    <t>Motion Sensor (Ceiling)</t>
  </si>
  <si>
    <t>6 Lamp T5 highbay</t>
  </si>
  <si>
    <t>6 Lamp T5 highbay w/ Motion Sensor</t>
  </si>
  <si>
    <t>200A Meter Socket</t>
  </si>
  <si>
    <t>Fixture Quote</t>
  </si>
  <si>
    <t>SUB</t>
  </si>
  <si>
    <t>Empty 2" PVC conduit feed Tele/Data (ft.)</t>
  </si>
  <si>
    <t>600A CT Meter</t>
  </si>
  <si>
    <t>1200A CT Meter</t>
  </si>
  <si>
    <t>500 CU   feed (ft)</t>
  </si>
  <si>
    <t>600 CU   feed (ft)</t>
  </si>
  <si>
    <t>125A 120/208V., 3PH Panelboard w/ feed</t>
  </si>
  <si>
    <t>150A 120/208V., 3PH Panelboard w/ feed</t>
  </si>
  <si>
    <t>250A 277/480V., 3PH Panelboard w/ feed</t>
  </si>
  <si>
    <t>40A Equipment connection</t>
  </si>
  <si>
    <t>Disconnect of power for safe demolition by others</t>
  </si>
  <si>
    <t>Coring (Scanning &amp; X-raying Excluded)</t>
  </si>
  <si>
    <t>X-Raying</t>
  </si>
  <si>
    <t>Scanning</t>
  </si>
  <si>
    <t>Connection to existing fire alarm system</t>
  </si>
  <si>
    <t>Rework existing panel for new loads</t>
  </si>
  <si>
    <t>Floor Tele / Data outlet</t>
  </si>
  <si>
    <t>Duplex Receptacle</t>
  </si>
  <si>
    <t xml:space="preserve">Dedicated Duplex Receptacle </t>
  </si>
  <si>
    <t xml:space="preserve">Double Duplex Receptacle </t>
  </si>
  <si>
    <t xml:space="preserve">Floor Duplex Receptacle </t>
  </si>
  <si>
    <t xml:space="preserve">Dedicated Double Duplex Receptacle </t>
  </si>
  <si>
    <t xml:space="preserve">Dedicated GFI Duplex Receptacle </t>
  </si>
  <si>
    <t xml:space="preserve">Dedicated IG Duplex Receptacle </t>
  </si>
  <si>
    <t xml:space="preserve">GFI Receptacle </t>
  </si>
  <si>
    <t xml:space="preserve">Tele / Data stub </t>
  </si>
  <si>
    <t xml:space="preserve">Exit with battery back up </t>
  </si>
  <si>
    <t>Emergency battery light</t>
  </si>
  <si>
    <t xml:space="preserve">75KVA transformer </t>
  </si>
  <si>
    <t xml:space="preserve">150 KVA transformer </t>
  </si>
  <si>
    <t xml:space="preserve">112.5KVA transformer </t>
  </si>
  <si>
    <t xml:space="preserve">200A 120/208V., 3PH Panelboard w/ feed </t>
  </si>
  <si>
    <t>400A 120/208V., 3Ph, Panelboard w/ feed</t>
  </si>
  <si>
    <t xml:space="preserve">400A 277/480V., 3Ph, Panelboard w/ feed </t>
  </si>
  <si>
    <t xml:space="preserve">800A., 277/480V., 3PH. Distribution board w/ feed </t>
  </si>
  <si>
    <t>Down Time (Number of floors 15 &amp; up)</t>
  </si>
  <si>
    <t>Down Time (Number of floors 1-14)</t>
  </si>
  <si>
    <t>Parking</t>
  </si>
  <si>
    <t>Lighting Control Relay Panel</t>
  </si>
  <si>
    <t>Empty 1-1/2" C</t>
  </si>
  <si>
    <t>Empty 2" C</t>
  </si>
  <si>
    <t>Phone: 773.826.2600  Fax: 773.826.2620</t>
  </si>
  <si>
    <t>817 S Kildare Ave</t>
  </si>
  <si>
    <t>Chicago, Illinois 60624</t>
  </si>
  <si>
    <t>STREETLIGHTING ESTIMATOR</t>
  </si>
  <si>
    <t>ESTIMATE #</t>
  </si>
  <si>
    <t>Lighting Quote</t>
  </si>
  <si>
    <t>S2 Light (One head)</t>
  </si>
  <si>
    <t>S6 Light (Two head)</t>
  </si>
  <si>
    <t>S7 Light (Three head)</t>
  </si>
  <si>
    <t>S7 Light (Four head)</t>
  </si>
  <si>
    <t>S8 Wall Pack</t>
  </si>
  <si>
    <t>Concrete base 2' X6'</t>
  </si>
  <si>
    <t>SUB-TOTAL</t>
  </si>
  <si>
    <t>Concrete base 12" X4'</t>
  </si>
  <si>
    <t>Helex 8" x 6' Chance T112</t>
  </si>
  <si>
    <t xml:space="preserve">     Fusing</t>
  </si>
  <si>
    <t xml:space="preserve">     Grounding</t>
  </si>
  <si>
    <t>Trenching</t>
  </si>
  <si>
    <t>FT</t>
  </si>
  <si>
    <t>1" GRC</t>
  </si>
  <si>
    <t>1-1/4" GRC</t>
  </si>
  <si>
    <t>1-1/2 GRC</t>
  </si>
  <si>
    <t>2" GRC</t>
  </si>
  <si>
    <t>3" GRC</t>
  </si>
  <si>
    <t>4'' GRC</t>
  </si>
  <si>
    <t>1" IMC</t>
  </si>
  <si>
    <t>1-1/4 IMC</t>
  </si>
  <si>
    <t>1-1/2 IMC</t>
  </si>
  <si>
    <t>2 IMC</t>
  </si>
  <si>
    <t>3" IMC</t>
  </si>
  <si>
    <t>4'' IMC</t>
  </si>
  <si>
    <t>1" PVC</t>
  </si>
  <si>
    <t>1-1/4 PVC</t>
  </si>
  <si>
    <t>1-1/2 PVC</t>
  </si>
  <si>
    <t>2 PVC</t>
  </si>
  <si>
    <t>3" PVC</t>
  </si>
  <si>
    <t>4'' PVC</t>
  </si>
  <si>
    <t>3 # 6</t>
  </si>
  <si>
    <t>4 #6</t>
  </si>
  <si>
    <t>5 # 6</t>
  </si>
  <si>
    <t>7 # 6</t>
  </si>
  <si>
    <t>9 # 6</t>
  </si>
  <si>
    <t>3 # 8</t>
  </si>
  <si>
    <t>4 #8</t>
  </si>
  <si>
    <t>5 # 8</t>
  </si>
  <si>
    <t>7 # 8</t>
  </si>
  <si>
    <t>9 # 8</t>
  </si>
  <si>
    <t>3 # 10</t>
  </si>
  <si>
    <t>4 #10</t>
  </si>
  <si>
    <t>5 # 10</t>
  </si>
  <si>
    <t>7 # 10</t>
  </si>
  <si>
    <t>9 # 10</t>
  </si>
  <si>
    <t>CA-6 backfill (100')</t>
  </si>
  <si>
    <t>Spoils stockpile</t>
  </si>
  <si>
    <t>Y</t>
  </si>
  <si>
    <t>Concrete</t>
  </si>
  <si>
    <t>Quazite box</t>
  </si>
  <si>
    <t>LOT</t>
  </si>
  <si>
    <t>HR</t>
  </si>
  <si>
    <t>Bucket truck</t>
  </si>
  <si>
    <t>Bucket truck w/operator</t>
  </si>
  <si>
    <t>Boring, underground drilling</t>
  </si>
  <si>
    <t>Equipment maintenance</t>
  </si>
  <si>
    <t>Tax</t>
  </si>
  <si>
    <t xml:space="preserve">Hourly </t>
  </si>
  <si>
    <t>Cost</t>
  </si>
  <si>
    <t>This streetlighting estimator is set up for commercial work.  There may be need to alter the price for residential work.  Labor cost is entered in cell H60 and automatically altered on the Job Set-Up sheet.  All amounts in the yellow box are automatically transferred there also.  The total estimated price needs to be manually entered on the Quote sheet.</t>
  </si>
  <si>
    <t>TOTAL MATERIAL + LABOR</t>
  </si>
  <si>
    <t>OVERHEAD</t>
  </si>
  <si>
    <t>SUB TOTAL</t>
  </si>
  <si>
    <t>RENTAL EQUIPMENT</t>
  </si>
  <si>
    <t>SUBCONTRACTS</t>
  </si>
  <si>
    <t>PROFIT</t>
  </si>
  <si>
    <t>PROJECT TOTALS</t>
  </si>
  <si>
    <t>PRICE PER POLE</t>
  </si>
  <si>
    <t>S1 - Bollard</t>
  </si>
  <si>
    <t># of poles</t>
  </si>
  <si>
    <t xml:space="preserve">TV stub </t>
  </si>
  <si>
    <t>TV Outlet</t>
  </si>
  <si>
    <t>Tele / Data Outlet</t>
  </si>
  <si>
    <t xml:space="preserve">1/2" HW Unit </t>
  </si>
  <si>
    <t xml:space="preserve">3/4" HW Unit </t>
  </si>
  <si>
    <t xml:space="preserve">1" HW Unit </t>
  </si>
  <si>
    <t xml:space="preserve">1-1/4" HW Unit </t>
  </si>
  <si>
    <t xml:space="preserve">1-1/2" HW Unit </t>
  </si>
  <si>
    <t xml:space="preserve">2" HW Unit </t>
  </si>
  <si>
    <t xml:space="preserve">2-1/2" HW Unit </t>
  </si>
  <si>
    <t xml:space="preserve">3" HW Unit </t>
  </si>
  <si>
    <t xml:space="preserve">3-1/2" HW Unit </t>
  </si>
  <si>
    <t xml:space="preserve">4" HW Unit </t>
  </si>
  <si>
    <t xml:space="preserve">1/2" IMC Unit </t>
  </si>
  <si>
    <t xml:space="preserve">3/4" IMC Unit </t>
  </si>
  <si>
    <t xml:space="preserve">1" IMC Unit </t>
  </si>
  <si>
    <t xml:space="preserve">1-1/4" IMC Unit </t>
  </si>
  <si>
    <t xml:space="preserve">1-1/2" IMC Unit </t>
  </si>
  <si>
    <t xml:space="preserve">2" IMC Unit </t>
  </si>
  <si>
    <t xml:space="preserve">2-1/2" IMC Unit </t>
  </si>
  <si>
    <t xml:space="preserve">3" IMC Unit </t>
  </si>
  <si>
    <t xml:space="preserve">3-1/2" IMC Unit </t>
  </si>
  <si>
    <t xml:space="preserve">4" IMC Unit </t>
  </si>
  <si>
    <t xml:space="preserve">1/2" COMP EMT Unit </t>
  </si>
  <si>
    <t xml:space="preserve">3/4" COMP EMT Unit </t>
  </si>
  <si>
    <t xml:space="preserve">1" COMP EMT Unit </t>
  </si>
  <si>
    <t xml:space="preserve">1-1/4" COMP EMT Unit </t>
  </si>
  <si>
    <t xml:space="preserve">1-1/2" COMP EMT Unit </t>
  </si>
  <si>
    <t xml:space="preserve">2" COMP EMT Unit </t>
  </si>
  <si>
    <t xml:space="preserve">2-1/2" COMP EMT Unit </t>
  </si>
  <si>
    <t xml:space="preserve">3" COMP EMT Unit </t>
  </si>
  <si>
    <t xml:space="preserve">3-1/2" COMP EMT Unit </t>
  </si>
  <si>
    <t xml:space="preserve">4" COMP EMT Unit </t>
  </si>
  <si>
    <t xml:space="preserve">PVC Unit </t>
  </si>
  <si>
    <t xml:space="preserve">1/2" PVC Slab Unit </t>
  </si>
  <si>
    <t xml:space="preserve">3/4" PVC Slab Unit </t>
  </si>
  <si>
    <t xml:space="preserve">1" PVC Slab Unit </t>
  </si>
  <si>
    <t xml:space="preserve">1-1/4" PVC Slab Unit </t>
  </si>
  <si>
    <t xml:space="preserve">1-1/2" PVC Slab Unit </t>
  </si>
  <si>
    <t xml:space="preserve">2" PVC Slab Unit </t>
  </si>
  <si>
    <t xml:space="preserve">2-1/2" PVC Slab Unit </t>
  </si>
  <si>
    <t xml:space="preserve">3" PVC Slab Unit </t>
  </si>
  <si>
    <t xml:space="preserve">3-1/2" PVC Slab Unit </t>
  </si>
  <si>
    <t xml:space="preserve">4" PVC Slab Unit </t>
  </si>
  <si>
    <t xml:space="preserve">1/2" SS EMT Unit </t>
  </si>
  <si>
    <t xml:space="preserve">3/4" SS EMT Unit </t>
  </si>
  <si>
    <t xml:space="preserve">1" SS EMT Unit </t>
  </si>
  <si>
    <t xml:space="preserve">1-1/4" SS EMT Unit </t>
  </si>
  <si>
    <t xml:space="preserve">1-1/2" SS EMT Unit </t>
  </si>
  <si>
    <t xml:space="preserve">2" SS EMT Unit </t>
  </si>
  <si>
    <t xml:space="preserve">2-1/2" SS EMT Unit </t>
  </si>
  <si>
    <t xml:space="preserve">3" SS EMT Unit </t>
  </si>
  <si>
    <t xml:space="preserve">3-1/2" SS EMT Unit </t>
  </si>
  <si>
    <t xml:space="preserve">4" SS EMT Unit </t>
  </si>
  <si>
    <t xml:space="preserve">HW Unit </t>
  </si>
  <si>
    <t xml:space="preserve">PVC/GRC Unit </t>
  </si>
  <si>
    <t xml:space="preserve">1/2" PVC/GRC Unit Assy </t>
  </si>
  <si>
    <t xml:space="preserve">3/4" PVC/GRC Unit Assy </t>
  </si>
  <si>
    <t xml:space="preserve">1" PVC/GRC Unit Assy </t>
  </si>
  <si>
    <t xml:space="preserve">1-1/4" PVC/GRC Unit Assy </t>
  </si>
  <si>
    <t xml:space="preserve">1-1/2" PVC/GRC Unit Assy </t>
  </si>
  <si>
    <t xml:space="preserve">2" PVC/GRC Unit Assy </t>
  </si>
  <si>
    <t xml:space="preserve">2-1/2" PVC/GRC Unit Assy </t>
  </si>
  <si>
    <t xml:space="preserve">3" PVC/GRC Unit Assy </t>
  </si>
  <si>
    <t xml:space="preserve">3-1/2" PVC/GRC Unit Assy </t>
  </si>
  <si>
    <t xml:space="preserve">4" PVC/GRC Unit Assy </t>
  </si>
  <si>
    <t xml:space="preserve">﻿#12 Thhn Stranded </t>
  </si>
  <si>
    <t xml:space="preserve">M </t>
  </si>
  <si>
    <t xml:space="preserve">#10 Thhn Stranded </t>
  </si>
  <si>
    <t xml:space="preserve">#1/0 Thhn Stranded </t>
  </si>
  <si>
    <t xml:space="preserve">#2/0 Thhn Stranded </t>
  </si>
  <si>
    <t xml:space="preserve">#3/0 Thhn Stranded </t>
  </si>
  <si>
    <t xml:space="preserve">#4/0 Thhn Stranded </t>
  </si>
  <si>
    <t xml:space="preserve">#250 MCM Thhn Wire </t>
  </si>
  <si>
    <t xml:space="preserve">#300 MCM Thhn Wire </t>
  </si>
  <si>
    <t xml:space="preserve">#350 MCM Thhn Wire </t>
  </si>
  <si>
    <t xml:space="preserve">#500 MCM Thhn Wire </t>
  </si>
  <si>
    <t xml:space="preserve">#600 MCM Thhn Wire </t>
  </si>
  <si>
    <t xml:space="preserve">#750 MCM Thhn Wire </t>
  </si>
  <si>
    <t xml:space="preserve">#8 Thhn Stranded </t>
  </si>
  <si>
    <t xml:space="preserve">#6 Thhn Stranded </t>
  </si>
  <si>
    <t xml:space="preserve">#4 Thhn Stranded </t>
  </si>
  <si>
    <t xml:space="preserve">#3 Thhn Stranded </t>
  </si>
  <si>
    <t xml:space="preserve">#2 Thhn Stranded </t>
  </si>
  <si>
    <t xml:space="preserve">#1 Thhn Stranded </t>
  </si>
  <si>
    <t xml:space="preserve">IMC Unit </t>
  </si>
  <si>
    <t xml:space="preserve">EMT Set Screw UNIT </t>
  </si>
  <si>
    <t xml:space="preserve">EMT Compression UNIT </t>
  </si>
  <si>
    <t>THHN WIRE</t>
  </si>
  <si>
    <t xml:space="preserve">#400 MCM Thhn Wire </t>
  </si>
  <si>
    <t>MARKET PRICE</t>
  </si>
  <si>
    <t>ELYSIA SHEET</t>
  </si>
  <si>
    <t>TAKE HIGHEST PRICE</t>
  </si>
  <si>
    <t>PER 100</t>
  </si>
  <si>
    <t>1/2-EMT</t>
  </si>
  <si>
    <t>1/2-HW</t>
  </si>
  <si>
    <t>1/2-IMC</t>
  </si>
  <si>
    <t>1/2-PVC40</t>
  </si>
  <si>
    <t>3/4-EMT</t>
  </si>
  <si>
    <t>3/4-HW</t>
  </si>
  <si>
    <t>3/4-IMC</t>
  </si>
  <si>
    <t>3/4-PVC40</t>
  </si>
  <si>
    <t>1-EMT</t>
  </si>
  <si>
    <t>1-HW</t>
  </si>
  <si>
    <t>1-IMC</t>
  </si>
  <si>
    <t>1-PVC40</t>
  </si>
  <si>
    <t>1-1/4-EMT</t>
  </si>
  <si>
    <t>1-1/4-HW</t>
  </si>
  <si>
    <t>1-1/4-IMC</t>
  </si>
  <si>
    <t>1-1/4-PVC40</t>
  </si>
  <si>
    <t>1-1/2-EMT</t>
  </si>
  <si>
    <t>1-1/2-HW</t>
  </si>
  <si>
    <t>1-1/2-IMC</t>
  </si>
  <si>
    <t>1-1/2-PVC40</t>
  </si>
  <si>
    <t>2-EMT</t>
  </si>
  <si>
    <t>2-HW</t>
  </si>
  <si>
    <t>2-IMC</t>
  </si>
  <si>
    <t>2-PVC40</t>
  </si>
  <si>
    <t>2-1/2-EMT</t>
  </si>
  <si>
    <t>2-1/2-HW</t>
  </si>
  <si>
    <t>2-1/2-IMC</t>
  </si>
  <si>
    <t>2-1/2-PVC40</t>
  </si>
  <si>
    <t>3-EMT</t>
  </si>
  <si>
    <t>3-HW</t>
  </si>
  <si>
    <t>3-IMC</t>
  </si>
  <si>
    <t>3-PVC40</t>
  </si>
  <si>
    <t>3-1/2-EMT</t>
  </si>
  <si>
    <t>3-1/2-HW</t>
  </si>
  <si>
    <t>3-1/2-IMC</t>
  </si>
  <si>
    <t>3-1/2-PVC40</t>
  </si>
  <si>
    <t>4-EMT</t>
  </si>
  <si>
    <t>4-HW</t>
  </si>
  <si>
    <t>4-IMC</t>
  </si>
  <si>
    <t>4-PVC40</t>
  </si>
  <si>
    <t>5-PVC40</t>
  </si>
  <si>
    <t>6-PVC40</t>
  </si>
  <si>
    <t>5-HW</t>
  </si>
  <si>
    <t>6-HW</t>
  </si>
  <si>
    <t xml:space="preserve">5" PVC Slab Unit </t>
  </si>
  <si>
    <t>225A 277/480V., 3PH Panelboard w/ feed</t>
  </si>
  <si>
    <t>Floor AV outlet</t>
  </si>
  <si>
    <t>Aluminum Pricing</t>
  </si>
  <si>
    <t>#1</t>
  </si>
  <si>
    <t>250 MCM</t>
  </si>
  <si>
    <t>#1/0</t>
  </si>
  <si>
    <t>#2/0</t>
  </si>
  <si>
    <t>#3/0</t>
  </si>
  <si>
    <t>#4/0</t>
  </si>
  <si>
    <t>300 MCM</t>
  </si>
  <si>
    <t>350 MCM</t>
  </si>
  <si>
    <t>400 MM</t>
  </si>
  <si>
    <t>500 MCM</t>
  </si>
  <si>
    <t>600 MCM</t>
  </si>
  <si>
    <t>750 MCM</t>
  </si>
  <si>
    <t>900 MCM</t>
  </si>
  <si>
    <t>PER 1000</t>
  </si>
  <si>
    <t>8 Lamp T5 highbay</t>
  </si>
  <si>
    <t>8 Lamp T5 highbay w/ Motion Sensor</t>
  </si>
  <si>
    <t>Concre Base</t>
  </si>
  <si>
    <t>3#6 + #10 in 1"</t>
  </si>
  <si>
    <t>LED Wall Pack (Perimeter)</t>
  </si>
  <si>
    <t>LED Wall Pack Light (Man Doors)</t>
  </si>
  <si>
    <t>LED Single head pole fixture w/ 25' pole</t>
  </si>
  <si>
    <t>LED Double head pole fixture w/ 25' pole</t>
  </si>
  <si>
    <t>LED MH Triple head pole fixture w/ 25' pole</t>
  </si>
  <si>
    <t>LED Quad head pole fixture w/ 25' pole</t>
  </si>
  <si>
    <t>LED highbay</t>
  </si>
  <si>
    <t>LED highbay w/ Motion Sensor</t>
  </si>
  <si>
    <t>M</t>
  </si>
  <si>
    <t>ALUM WIRE</t>
  </si>
  <si>
    <t xml:space="preserve">#900 MCM Thhn Wire </t>
  </si>
  <si>
    <t>750 AL  feed (ft)</t>
  </si>
  <si>
    <t>2- 250 AL  feed (ft)</t>
  </si>
  <si>
    <t>1/2"</t>
  </si>
  <si>
    <t>3/4"</t>
  </si>
  <si>
    <t>1"</t>
  </si>
  <si>
    <t>1-1/4"</t>
  </si>
  <si>
    <t>1-1/2"</t>
  </si>
  <si>
    <t>2"</t>
  </si>
  <si>
    <t>2-1/2"</t>
  </si>
  <si>
    <t>3"</t>
  </si>
  <si>
    <t>3-1/2"</t>
  </si>
  <si>
    <t>4"</t>
  </si>
  <si>
    <t>2000A Bus Duct (ft)</t>
  </si>
  <si>
    <t>2000A Bus Duct Tap Box Starter</t>
  </si>
  <si>
    <t>2000A Bus Duct End</t>
  </si>
  <si>
    <t>2000A Bus Duct Floor Supports</t>
  </si>
  <si>
    <t>2000A Bus Duct Wall Supports</t>
  </si>
  <si>
    <t>600A Bus Plug</t>
  </si>
  <si>
    <t>600A Meter Main</t>
  </si>
  <si>
    <t>3 Stack meter</t>
  </si>
  <si>
    <t>3000A Bus Duct (ft)</t>
  </si>
  <si>
    <t>3000A Bus Duct Tap Box Starter</t>
  </si>
  <si>
    <t>3000A Bus Duct End</t>
  </si>
  <si>
    <t>3000A Bus Duct Floor Supports</t>
  </si>
  <si>
    <t>3000A Bus Duct Wall Supports</t>
  </si>
  <si>
    <t>1600A Bus Duct (ft)</t>
  </si>
  <si>
    <t>1600A Bus Duct Tap Box Starter</t>
  </si>
  <si>
    <t>1600A Bus Duct End</t>
  </si>
  <si>
    <t>1600A Bus Duct Floor Supports</t>
  </si>
  <si>
    <t>1600A Bus Duct Wall Supports</t>
  </si>
  <si>
    <t>800A Bus Duct (ft)</t>
  </si>
  <si>
    <t>800A Bus Duct Tap Box Starter</t>
  </si>
  <si>
    <t>800A Bus Duct End</t>
  </si>
  <si>
    <t>800A Bus Duct Floor Supports</t>
  </si>
  <si>
    <t>800A Bus Duct Wall Supports</t>
  </si>
  <si>
    <t>800A Bus Plug</t>
  </si>
  <si>
    <t>400A Bus Plug</t>
  </si>
  <si>
    <t>1200A Bus Plug</t>
  </si>
  <si>
    <t>400A Meter Main</t>
  </si>
  <si>
    <t>4 Stack meter</t>
  </si>
  <si>
    <t xml:space="preserve">225 KVA transformer </t>
  </si>
  <si>
    <t>Wireless Motion Sensor (Ceiling)</t>
  </si>
  <si>
    <t>Wireless Daylight Sensor (Ceiling)</t>
  </si>
  <si>
    <t>Wireless Receiver</t>
  </si>
  <si>
    <t xml:space="preserve">300 KVA transformer </t>
  </si>
  <si>
    <t>2x4 LED</t>
  </si>
  <si>
    <t xml:space="preserve">2x2 LED </t>
  </si>
  <si>
    <t xml:space="preserve">6"  LED Downlight </t>
  </si>
  <si>
    <t>4' LED Wall Bracket (stairwell)</t>
  </si>
  <si>
    <t xml:space="preserve">4' LED strip lights </t>
  </si>
  <si>
    <t xml:space="preserve">4' LED Wraparound </t>
  </si>
  <si>
    <t>4' LED Linear</t>
  </si>
  <si>
    <t>8' LED Linear</t>
  </si>
  <si>
    <t>2x4 LED  (Warehouse)</t>
  </si>
  <si>
    <t>8' LED strip lights  (warehouse)</t>
  </si>
  <si>
    <t>4' LED strip lights (warehouse)</t>
  </si>
  <si>
    <t>Empty 1-1/4" C</t>
  </si>
  <si>
    <t>Wireless Switch</t>
  </si>
  <si>
    <t>Wireless Dimmer</t>
  </si>
  <si>
    <t>Momentary Switch</t>
  </si>
  <si>
    <t>Projector screen with switch</t>
  </si>
  <si>
    <t>14/2: .012 .015 .018</t>
  </si>
  <si>
    <t>12/2: .012 .015 .018</t>
  </si>
  <si>
    <t>10/2: .012 .015 .018</t>
  </si>
  <si>
    <t>14/3: .012 .015 .018</t>
  </si>
  <si>
    <t>12/3: .012 .015 .018</t>
  </si>
  <si>
    <t>10/3: .012 .015 .018</t>
  </si>
  <si>
    <t>12/2: .015 .019 .023</t>
  </si>
  <si>
    <t>10/2: .018 .023 .027</t>
  </si>
  <si>
    <t>14/3: .018 .023 .027</t>
  </si>
  <si>
    <t>12/3: .021 .026 .032</t>
  </si>
  <si>
    <t>10/3: .024 .030 .036</t>
  </si>
  <si>
    <t>Romex labor rate / ft</t>
  </si>
  <si>
    <t>BX Cable labor rate / ft</t>
  </si>
  <si>
    <t>k</t>
  </si>
  <si>
    <t>Prevoius Price</t>
  </si>
  <si>
    <t>Previous</t>
  </si>
  <si>
    <t>Due to material price increases, this proposal is good for 30 days from date above.</t>
  </si>
  <si>
    <t>Double Duplex Receptacle (warehouse)</t>
  </si>
  <si>
    <t>Elevator/Lobby/Corridors &amp; Vacant Suite 3450</t>
  </si>
  <si>
    <t xml:space="preserve">120 N LaSalle </t>
  </si>
  <si>
    <t>John Gavula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</si>
</sst>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7" formatCode="&quot;$&quot;#,##0.00_);\(&quot;$&quot;#,##0.00\)"/>
    <numFmt numFmtId="8" formatCode="&quot;$&quot;#,##0.00_);[Red]\(&quot;$&quot;#,##0.00\)"/>
    <numFmt numFmtId="44" formatCode="_(&quot;$&quot;* #,##0.00_);_(&quot;$&quot;* \(#,##0.00\);_(&quot;$&quot;* &quot;-&quot;??_);_(@_)"/>
    <numFmt numFmtId="164" formatCode="&quot;$&quot;#,##0.00"/>
    <numFmt numFmtId="165" formatCode="0.000"/>
    <numFmt numFmtId="166" formatCode="&quot;$&quot;#,##0"/>
    <numFmt numFmtId="167" formatCode="mmmm\ d\,\ yyyy"/>
    <numFmt numFmtId="168" formatCode="0_);[Red]\(0\)"/>
  </numFmts>
  <fonts count="28">
    <font>
      <sz val="10"/>
      <name val="MS Sans Serif"/>
    </font>
    <font>
      <sz val="10"/>
      <name val="MS Sans Serif"/>
      <family val="2"/>
    </font>
    <font>
      <sz val="8"/>
      <name val="MS Sans Serif"/>
      <family val="2"/>
    </font>
    <font>
      <b/>
      <sz val="8"/>
      <name val="MS Sans Serif"/>
      <family val="2"/>
    </font>
    <font>
      <b/>
      <sz val="10"/>
      <name val="MS Sans Serif"/>
      <family val="2"/>
    </font>
    <font>
      <sz val="8.5"/>
      <name val="MS Sans Serif"/>
      <family val="2"/>
    </font>
    <font>
      <sz val="8"/>
      <name val="MS Sans Serif"/>
      <family val="2"/>
    </font>
    <font>
      <sz val="10"/>
      <name val="MS Sans Serif"/>
      <family val="2"/>
    </font>
    <font>
      <b/>
      <sz val="12"/>
      <name val="MS Sans Serif"/>
      <family val="2"/>
    </font>
    <font>
      <sz val="10"/>
      <name val="Arial"/>
      <family val="2"/>
    </font>
    <font>
      <b/>
      <sz val="10"/>
      <name val="Arial"/>
      <family val="2"/>
    </font>
    <font>
      <sz val="12"/>
      <name val="Arial"/>
      <family val="2"/>
    </font>
    <font>
      <sz val="8"/>
      <name val="Arial"/>
      <family val="2"/>
    </font>
    <font>
      <sz val="10"/>
      <name val="Arial"/>
      <family val="2"/>
    </font>
    <font>
      <sz val="10"/>
      <name val="Arial"/>
      <family val="2"/>
    </font>
    <font>
      <b/>
      <u/>
      <sz val="10"/>
      <name val="MS Sans Serif"/>
      <family val="2"/>
    </font>
    <font>
      <sz val="8"/>
      <name val="SF Sans Serif"/>
      <family val="2"/>
    </font>
    <font>
      <sz val="12"/>
      <name val="Times New Roman"/>
      <family val="1"/>
    </font>
    <font>
      <sz val="10"/>
      <name val="Times New Roman"/>
      <family val="1"/>
    </font>
    <font>
      <sz val="9"/>
      <name val="Arial"/>
      <family val="2"/>
    </font>
    <font>
      <b/>
      <sz val="9"/>
      <name val="Arial"/>
      <family val="2"/>
    </font>
    <font>
      <sz val="7"/>
      <name val="Arial"/>
      <family val="2"/>
    </font>
    <font>
      <sz val="10"/>
      <color theme="4" tint="-0.249977111117893"/>
      <name val="MS Sans Serif"/>
      <family val="2"/>
    </font>
    <font>
      <sz val="10"/>
      <color rgb="FF000000"/>
      <name val="Times New Roman"/>
      <family val="1"/>
    </font>
    <font>
      <sz val="10"/>
      <name val="Arial"/>
      <family val="2"/>
    </font>
    <font>
      <sz val="10"/>
      <name val="Arial"/>
      <family val="2"/>
    </font>
    <font>
      <b/>
      <sz val="10"/>
      <name val="MS Sans Serif"/>
    </font>
    <font>
      <sz val="10"/>
      <name val="MS Sans Serif"/>
    </font>
  </fonts>
  <fills count="7">
    <fill>
      <patternFill patternType="none"/>
    </fill>
    <fill>
      <patternFill patternType="gray125"/>
    </fill>
    <fill>
      <patternFill patternType="solid">
        <fgColor indexed="13"/>
        <bgColor indexed="64"/>
      </patternFill>
    </fill>
    <fill>
      <patternFill patternType="solid">
        <fgColor indexed="47"/>
        <bgColor indexed="64"/>
      </patternFill>
    </fill>
    <fill>
      <patternFill patternType="solid">
        <fgColor indexed="41"/>
        <bgColor indexed="64"/>
      </patternFill>
    </fill>
    <fill>
      <patternFill patternType="solid">
        <fgColor rgb="FFFFFF00"/>
        <bgColor indexed="64"/>
      </patternFill>
    </fill>
    <fill>
      <patternFill patternType="solid">
        <fgColor theme="5" tint="0.59999389629810485"/>
        <bgColor indexed="64"/>
      </patternFill>
    </fill>
  </fills>
  <borders count="39">
    <border>
      <left/>
      <right/>
      <top/>
      <bottom/>
      <diagonal/>
    </border>
    <border>
      <left/>
      <right/>
      <top/>
      <bottom style="medium">
        <color indexed="64"/>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style="thin">
        <color indexed="64"/>
      </top>
      <bottom style="thin">
        <color indexed="64"/>
      </bottom>
      <diagonal/>
    </border>
    <border>
      <left/>
      <right style="medium">
        <color indexed="64"/>
      </right>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thin">
        <color indexed="64"/>
      </top>
      <bottom/>
      <diagonal/>
    </border>
    <border>
      <left/>
      <right style="thick">
        <color indexed="64"/>
      </right>
      <top/>
      <bottom style="thick">
        <color indexed="64"/>
      </bottom>
      <diagonal/>
    </border>
    <border>
      <left style="thick">
        <color indexed="64"/>
      </left>
      <right style="thin">
        <color indexed="64"/>
      </right>
      <top/>
      <bottom style="thin">
        <color indexed="64"/>
      </bottom>
      <diagonal/>
    </border>
    <border>
      <left style="thin">
        <color indexed="64"/>
      </left>
      <right/>
      <top/>
      <bottom style="thin">
        <color indexed="64"/>
      </bottom>
      <diagonal/>
    </border>
    <border>
      <left/>
      <right style="thick">
        <color indexed="64"/>
      </right>
      <top/>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n">
        <color indexed="64"/>
      </left>
      <right/>
      <top style="thin">
        <color indexed="64"/>
      </top>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right/>
      <top style="thin">
        <color indexed="64"/>
      </top>
      <bottom style="thick">
        <color indexed="64"/>
      </bottom>
      <diagonal/>
    </border>
    <border>
      <left/>
      <right style="thick">
        <color indexed="64"/>
      </right>
      <top style="thin">
        <color indexed="64"/>
      </top>
      <bottom style="thick">
        <color indexed="64"/>
      </bottom>
      <diagonal/>
    </border>
    <border>
      <left style="thick">
        <color indexed="64"/>
      </left>
      <right/>
      <top/>
      <bottom style="thick">
        <color indexed="64"/>
      </bottom>
      <diagonal/>
    </border>
    <border>
      <left/>
      <right/>
      <top/>
      <bottom style="thick">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medium">
        <color indexed="64"/>
      </left>
      <right/>
      <top style="thick">
        <color indexed="64"/>
      </top>
      <bottom/>
      <diagonal/>
    </border>
    <border>
      <left style="medium">
        <color indexed="64"/>
      </left>
      <right style="medium">
        <color indexed="64"/>
      </right>
      <top style="medium">
        <color indexed="64"/>
      </top>
      <bottom/>
      <diagonal/>
    </border>
  </borders>
  <cellStyleXfs count="12">
    <xf numFmtId="0" fontId="0" fillId="0" borderId="0"/>
    <xf numFmtId="8" fontId="1" fillId="0" borderId="0" applyFont="0" applyFill="0" applyBorder="0" applyAlignment="0" applyProtection="0"/>
    <xf numFmtId="8" fontId="1" fillId="0" borderId="0" applyFont="0" applyFill="0" applyBorder="0" applyAlignment="0" applyProtection="0"/>
    <xf numFmtId="0" fontId="13" fillId="0" borderId="0"/>
    <xf numFmtId="0" fontId="14" fillId="0" borderId="0"/>
    <xf numFmtId="0" fontId="1" fillId="0" borderId="0"/>
    <xf numFmtId="0" fontId="24" fillId="0" borderId="0"/>
    <xf numFmtId="44" fontId="9" fillId="0" borderId="0" applyFont="0" applyFill="0" applyBorder="0" applyAlignment="0" applyProtection="0"/>
    <xf numFmtId="0" fontId="9" fillId="0" borderId="0"/>
    <xf numFmtId="9" fontId="9" fillId="0" borderId="0" applyFont="0" applyFill="0" applyBorder="0" applyAlignment="0" applyProtection="0"/>
    <xf numFmtId="0" fontId="25" fillId="0" borderId="0"/>
    <xf numFmtId="9" fontId="27" fillId="0" borderId="0" applyFont="0" applyFill="0" applyBorder="0" applyAlignment="0" applyProtection="0"/>
  </cellStyleXfs>
  <cellXfs count="199">
    <xf numFmtId="0" fontId="0" fillId="0" borderId="0" xfId="0"/>
    <xf numFmtId="0" fontId="2" fillId="0" borderId="0" xfId="0" applyFont="1" applyAlignment="1">
      <alignment horizontal="center"/>
    </xf>
    <xf numFmtId="0" fontId="2" fillId="0" borderId="0" xfId="0" applyFont="1"/>
    <xf numFmtId="7" fontId="2" fillId="0" borderId="0" xfId="0" applyNumberFormat="1" applyFont="1"/>
    <xf numFmtId="2" fontId="2" fillId="0" borderId="0" xfId="0" applyNumberFormat="1" applyFont="1"/>
    <xf numFmtId="7" fontId="2" fillId="0" borderId="1" xfId="0" applyNumberFormat="1" applyFont="1" applyBorder="1"/>
    <xf numFmtId="8" fontId="2" fillId="0" borderId="0" xfId="0" applyNumberFormat="1" applyFont="1"/>
    <xf numFmtId="10" fontId="2" fillId="0" borderId="0" xfId="0" applyNumberFormat="1" applyFont="1"/>
    <xf numFmtId="7" fontId="2" fillId="0" borderId="2" xfId="0" applyNumberFormat="1" applyFont="1" applyBorder="1"/>
    <xf numFmtId="0" fontId="3" fillId="0" borderId="0" xfId="0" applyFont="1"/>
    <xf numFmtId="0" fontId="2" fillId="0" borderId="3" xfId="0" applyFont="1" applyBorder="1" applyAlignment="1">
      <alignment horizontal="center"/>
    </xf>
    <xf numFmtId="164" fontId="3" fillId="0" borderId="0" xfId="0" applyNumberFormat="1" applyFont="1"/>
    <xf numFmtId="0" fontId="4" fillId="0" borderId="0" xfId="0" applyFont="1"/>
    <xf numFmtId="0" fontId="4" fillId="0" borderId="0" xfId="0" applyFont="1" applyAlignment="1">
      <alignment horizontal="center"/>
    </xf>
    <xf numFmtId="10" fontId="2" fillId="0" borderId="0" xfId="0" applyNumberFormat="1" applyFont="1" applyAlignment="1">
      <alignment horizontal="center"/>
    </xf>
    <xf numFmtId="1" fontId="2" fillId="0" borderId="0" xfId="0" applyNumberFormat="1" applyFont="1" applyAlignment="1">
      <alignment horizontal="center"/>
    </xf>
    <xf numFmtId="0" fontId="0" fillId="0" borderId="0" xfId="0" applyAlignment="1">
      <alignment horizontal="center"/>
    </xf>
    <xf numFmtId="165" fontId="2" fillId="0" borderId="0" xfId="0" applyNumberFormat="1" applyFont="1"/>
    <xf numFmtId="2" fontId="5" fillId="0" borderId="0" xfId="0" applyNumberFormat="1" applyFont="1"/>
    <xf numFmtId="2" fontId="0" fillId="0" borderId="0" xfId="0" applyNumberFormat="1"/>
    <xf numFmtId="164" fontId="2" fillId="0" borderId="3" xfId="0" applyNumberFormat="1" applyFont="1" applyBorder="1" applyAlignment="1">
      <alignment horizontal="center"/>
    </xf>
    <xf numFmtId="4" fontId="2" fillId="0" borderId="3" xfId="0" applyNumberFormat="1" applyFont="1" applyBorder="1" applyAlignment="1">
      <alignment horizontal="center"/>
    </xf>
    <xf numFmtId="2" fontId="2" fillId="0" borderId="3" xfId="0" applyNumberFormat="1" applyFont="1" applyBorder="1" applyAlignment="1">
      <alignment horizontal="center"/>
    </xf>
    <xf numFmtId="1" fontId="2" fillId="0" borderId="3" xfId="0" applyNumberFormat="1" applyFont="1" applyBorder="1" applyAlignment="1">
      <alignment horizontal="center" vertical="center"/>
    </xf>
    <xf numFmtId="7" fontId="2" fillId="0" borderId="3" xfId="0" applyNumberFormat="1" applyFont="1" applyBorder="1" applyAlignment="1">
      <alignment horizontal="center" vertical="center"/>
    </xf>
    <xf numFmtId="165" fontId="2" fillId="0" borderId="3" xfId="0" applyNumberFormat="1" applyFont="1" applyBorder="1" applyAlignment="1">
      <alignment horizontal="center"/>
    </xf>
    <xf numFmtId="3" fontId="0" fillId="0" borderId="0" xfId="0" applyNumberFormat="1" applyAlignment="1">
      <alignment horizontal="right"/>
    </xf>
    <xf numFmtId="164" fontId="0" fillId="0" borderId="0" xfId="0" applyNumberFormat="1"/>
    <xf numFmtId="0" fontId="2" fillId="0" borderId="4" xfId="0" applyFont="1" applyBorder="1" applyAlignment="1">
      <alignment horizontal="center"/>
    </xf>
    <xf numFmtId="0" fontId="2" fillId="0" borderId="4" xfId="0" applyFont="1" applyBorder="1"/>
    <xf numFmtId="0" fontId="3" fillId="0" borderId="4" xfId="0" applyFont="1" applyBorder="1"/>
    <xf numFmtId="0" fontId="6" fillId="0" borderId="4" xfId="0" applyFont="1" applyBorder="1"/>
    <xf numFmtId="0" fontId="2" fillId="0" borderId="4" xfId="0" applyFont="1" applyBorder="1" applyAlignment="1">
      <alignment vertical="center"/>
    </xf>
    <xf numFmtId="0" fontId="2" fillId="0" borderId="5" xfId="0" applyFont="1" applyBorder="1" applyAlignment="1">
      <alignment horizontal="center"/>
    </xf>
    <xf numFmtId="0" fontId="2" fillId="0" borderId="5" xfId="0" applyFont="1" applyBorder="1"/>
    <xf numFmtId="0" fontId="3" fillId="0" borderId="5" xfId="0" applyFont="1" applyBorder="1"/>
    <xf numFmtId="0" fontId="6" fillId="0" borderId="5" xfId="0" applyFont="1" applyBorder="1"/>
    <xf numFmtId="0" fontId="2" fillId="0" borderId="5" xfId="0" applyFont="1" applyBorder="1" applyAlignment="1">
      <alignment vertical="center"/>
    </xf>
    <xf numFmtId="166" fontId="3" fillId="0" borderId="5" xfId="0" applyNumberFormat="1" applyFont="1" applyBorder="1"/>
    <xf numFmtId="0" fontId="7" fillId="0" borderId="0" xfId="0" applyFont="1"/>
    <xf numFmtId="7" fontId="4" fillId="0" borderId="0" xfId="0" applyNumberFormat="1" applyFont="1" applyAlignment="1">
      <alignment horizontal="right"/>
    </xf>
    <xf numFmtId="168" fontId="0" fillId="0" borderId="0" xfId="0" applyNumberFormat="1"/>
    <xf numFmtId="166" fontId="2" fillId="0" borderId="0" xfId="0" applyNumberFormat="1" applyFont="1"/>
    <xf numFmtId="3" fontId="2" fillId="0" borderId="0" xfId="0" applyNumberFormat="1" applyFont="1"/>
    <xf numFmtId="8" fontId="4" fillId="0" borderId="0" xfId="1" applyFont="1"/>
    <xf numFmtId="0" fontId="8" fillId="0" borderId="0" xfId="0" applyFont="1"/>
    <xf numFmtId="168" fontId="7" fillId="0" borderId="0" xfId="1" applyNumberFormat="1" applyFont="1"/>
    <xf numFmtId="0" fontId="4" fillId="0" borderId="0" xfId="0" applyFont="1" applyAlignment="1">
      <alignment horizontal="left"/>
    </xf>
    <xf numFmtId="0" fontId="9" fillId="0" borderId="0" xfId="0" applyFont="1"/>
    <xf numFmtId="168" fontId="7" fillId="0" borderId="0" xfId="1" quotePrefix="1" applyNumberFormat="1" applyFont="1" applyAlignment="1">
      <alignment horizontal="right"/>
    </xf>
    <xf numFmtId="0" fontId="9" fillId="0" borderId="0" xfId="0" quotePrefix="1" applyFont="1" applyAlignment="1">
      <alignment horizontal="right"/>
    </xf>
    <xf numFmtId="49" fontId="9" fillId="0" borderId="0" xfId="0" applyNumberFormat="1" applyFont="1" applyAlignment="1">
      <alignment horizontal="right"/>
    </xf>
    <xf numFmtId="0" fontId="9" fillId="0" borderId="0" xfId="0" applyFont="1" applyAlignment="1">
      <alignment horizontal="left"/>
    </xf>
    <xf numFmtId="49" fontId="9" fillId="0" borderId="0" xfId="0" applyNumberFormat="1" applyFont="1" applyAlignment="1">
      <alignment horizontal="center" vertical="top"/>
    </xf>
    <xf numFmtId="0" fontId="9" fillId="0" borderId="0" xfId="0" applyFont="1" applyAlignment="1">
      <alignment horizontal="right"/>
    </xf>
    <xf numFmtId="49" fontId="9" fillId="0" borderId="0" xfId="0" applyNumberFormat="1" applyFont="1" applyAlignment="1">
      <alignment vertical="top"/>
    </xf>
    <xf numFmtId="0" fontId="10" fillId="0" borderId="0" xfId="0" applyFont="1" applyAlignment="1">
      <alignment horizontal="left"/>
    </xf>
    <xf numFmtId="49" fontId="10" fillId="0" borderId="0" xfId="0" applyNumberFormat="1" applyFont="1" applyAlignment="1">
      <alignment horizontal="center" vertical="top"/>
    </xf>
    <xf numFmtId="49" fontId="9" fillId="0" borderId="0" xfId="0" applyNumberFormat="1" applyFont="1" applyAlignment="1">
      <alignment horizontal="left" vertical="top"/>
    </xf>
    <xf numFmtId="0" fontId="10" fillId="0" borderId="0" xfId="0" quotePrefix="1" applyFont="1" applyAlignment="1">
      <alignment horizontal="right"/>
    </xf>
    <xf numFmtId="0" fontId="11" fillId="0" borderId="0" xfId="0" applyFont="1"/>
    <xf numFmtId="49" fontId="9" fillId="0" borderId="0" xfId="0" applyNumberFormat="1" applyFont="1" applyAlignment="1">
      <alignment horizontal="left"/>
    </xf>
    <xf numFmtId="0" fontId="6" fillId="0" borderId="4" xfId="0" applyFont="1" applyBorder="1" applyAlignment="1">
      <alignment horizontal="left"/>
    </xf>
    <xf numFmtId="0" fontId="3" fillId="2" borderId="0" xfId="0" applyFont="1" applyFill="1"/>
    <xf numFmtId="0" fontId="2" fillId="2" borderId="0" xfId="0" applyFont="1" applyFill="1"/>
    <xf numFmtId="0" fontId="2" fillId="2" borderId="0" xfId="0" applyFont="1" applyFill="1" applyAlignment="1">
      <alignment horizontal="center"/>
    </xf>
    <xf numFmtId="14" fontId="2" fillId="2" borderId="0" xfId="0" applyNumberFormat="1" applyFont="1" applyFill="1" applyAlignment="1">
      <alignment horizontal="center"/>
    </xf>
    <xf numFmtId="0" fontId="2" fillId="0" borderId="6" xfId="0" applyFont="1" applyBorder="1"/>
    <xf numFmtId="0" fontId="2" fillId="0" borderId="6" xfId="0" applyFont="1" applyBorder="1" applyAlignment="1">
      <alignment horizontal="center"/>
    </xf>
    <xf numFmtId="7" fontId="3" fillId="0" borderId="5" xfId="0" applyNumberFormat="1" applyFont="1" applyBorder="1"/>
    <xf numFmtId="9" fontId="4" fillId="0" borderId="0" xfId="0" applyNumberFormat="1" applyFont="1" applyAlignment="1">
      <alignment horizontal="right"/>
    </xf>
    <xf numFmtId="0" fontId="4" fillId="0" borderId="7" xfId="0" applyFont="1" applyBorder="1" applyAlignment="1">
      <alignment horizontal="right"/>
    </xf>
    <xf numFmtId="164" fontId="0" fillId="0" borderId="7" xfId="0" applyNumberFormat="1" applyBorder="1"/>
    <xf numFmtId="0" fontId="4" fillId="0" borderId="8" xfId="0" applyFont="1" applyBorder="1" applyAlignment="1">
      <alignment horizontal="right"/>
    </xf>
    <xf numFmtId="164" fontId="0" fillId="0" borderId="9" xfId="0" applyNumberFormat="1" applyBorder="1"/>
    <xf numFmtId="0" fontId="2" fillId="0" borderId="4" xfId="0" applyFont="1" applyBorder="1" applyAlignment="1">
      <alignment horizontal="left"/>
    </xf>
    <xf numFmtId="0" fontId="22" fillId="0" borderId="0" xfId="0" applyFont="1"/>
    <xf numFmtId="0" fontId="2" fillId="0" borderId="0" xfId="5" applyFont="1" applyProtection="1">
      <protection locked="0"/>
    </xf>
    <xf numFmtId="0" fontId="2" fillId="3" borderId="10" xfId="5" quotePrefix="1" applyFont="1" applyFill="1" applyBorder="1" applyAlignment="1" applyProtection="1">
      <alignment horizontal="right"/>
      <protection locked="0"/>
    </xf>
    <xf numFmtId="0" fontId="2" fillId="3" borderId="0" xfId="5" applyFont="1" applyFill="1" applyAlignment="1" applyProtection="1">
      <alignment horizontal="left"/>
      <protection locked="0"/>
    </xf>
    <xf numFmtId="0" fontId="2" fillId="3" borderId="0" xfId="5" applyFont="1" applyFill="1" applyProtection="1">
      <protection locked="0"/>
    </xf>
    <xf numFmtId="0" fontId="2" fillId="3" borderId="11" xfId="5" applyFont="1" applyFill="1" applyBorder="1" applyProtection="1">
      <protection locked="0"/>
    </xf>
    <xf numFmtId="0" fontId="2" fillId="3" borderId="1" xfId="5" applyFont="1" applyFill="1" applyBorder="1" applyProtection="1">
      <protection locked="0"/>
    </xf>
    <xf numFmtId="0" fontId="2" fillId="4" borderId="12" xfId="5" applyFont="1" applyFill="1" applyBorder="1" applyAlignment="1" applyProtection="1">
      <alignment horizontal="center"/>
      <protection locked="0"/>
    </xf>
    <xf numFmtId="0" fontId="2" fillId="4" borderId="13" xfId="5" applyFont="1" applyFill="1" applyBorder="1" applyAlignment="1" applyProtection="1">
      <alignment horizontal="center"/>
      <protection locked="0"/>
    </xf>
    <xf numFmtId="0" fontId="2" fillId="4" borderId="14" xfId="5" applyFont="1" applyFill="1" applyBorder="1" applyAlignment="1" applyProtection="1">
      <alignment horizontal="center"/>
      <protection locked="0"/>
    </xf>
    <xf numFmtId="0" fontId="2" fillId="4" borderId="10" xfId="5" applyFont="1" applyFill="1" applyBorder="1" applyProtection="1">
      <protection locked="0"/>
    </xf>
    <xf numFmtId="0" fontId="2" fillId="4" borderId="0" xfId="5" applyFont="1" applyFill="1" applyProtection="1">
      <protection locked="0"/>
    </xf>
    <xf numFmtId="0" fontId="2" fillId="4" borderId="15" xfId="5" applyFont="1" applyFill="1" applyBorder="1" applyProtection="1">
      <protection locked="0"/>
    </xf>
    <xf numFmtId="2" fontId="2" fillId="4" borderId="0" xfId="5" applyNumberFormat="1" applyFont="1" applyFill="1"/>
    <xf numFmtId="0" fontId="2" fillId="4" borderId="16" xfId="5" applyFont="1" applyFill="1" applyBorder="1" applyProtection="1">
      <protection locked="0"/>
    </xf>
    <xf numFmtId="7" fontId="2" fillId="4" borderId="0" xfId="5" applyNumberFormat="1" applyFont="1" applyFill="1" applyProtection="1">
      <protection locked="0"/>
    </xf>
    <xf numFmtId="0" fontId="2" fillId="4" borderId="0" xfId="5" applyFont="1" applyFill="1" applyAlignment="1" applyProtection="1">
      <alignment horizontal="center"/>
      <protection locked="0"/>
    </xf>
    <xf numFmtId="7" fontId="2" fillId="4" borderId="0" xfId="5" applyNumberFormat="1" applyFont="1" applyFill="1"/>
    <xf numFmtId="2" fontId="2" fillId="4" borderId="0" xfId="5" applyNumberFormat="1" applyFont="1" applyFill="1" applyProtection="1">
      <protection locked="0"/>
    </xf>
    <xf numFmtId="2" fontId="2" fillId="4" borderId="15" xfId="5" applyNumberFormat="1" applyFont="1" applyFill="1" applyBorder="1"/>
    <xf numFmtId="164" fontId="2" fillId="0" borderId="0" xfId="5" applyNumberFormat="1" applyFont="1" applyProtection="1">
      <protection locked="0"/>
    </xf>
    <xf numFmtId="7" fontId="2" fillId="0" borderId="0" xfId="5" applyNumberFormat="1" applyFont="1" applyProtection="1">
      <protection locked="0"/>
    </xf>
    <xf numFmtId="7" fontId="2" fillId="0" borderId="7" xfId="5" applyNumberFormat="1" applyFont="1" applyBorder="1" applyProtection="1">
      <protection locked="0"/>
    </xf>
    <xf numFmtId="9" fontId="2" fillId="0" borderId="0" xfId="5" applyNumberFormat="1" applyFont="1" applyProtection="1">
      <protection locked="0"/>
    </xf>
    <xf numFmtId="0" fontId="2" fillId="0" borderId="8" xfId="5" applyFont="1" applyBorder="1" applyProtection="1">
      <protection locked="0"/>
    </xf>
    <xf numFmtId="7" fontId="2" fillId="0" borderId="9" xfId="5" applyNumberFormat="1" applyFont="1" applyBorder="1" applyProtection="1">
      <protection locked="0"/>
    </xf>
    <xf numFmtId="12" fontId="2" fillId="4" borderId="10" xfId="5" applyNumberFormat="1" applyFont="1" applyFill="1" applyBorder="1" applyProtection="1">
      <protection locked="0"/>
    </xf>
    <xf numFmtId="0" fontId="2" fillId="4" borderId="10" xfId="5" applyFont="1" applyFill="1" applyBorder="1" applyAlignment="1" applyProtection="1">
      <alignment horizontal="left"/>
      <protection locked="0"/>
    </xf>
    <xf numFmtId="8" fontId="2" fillId="4" borderId="0" xfId="5" applyNumberFormat="1" applyFont="1" applyFill="1" applyProtection="1">
      <protection locked="0"/>
    </xf>
    <xf numFmtId="165" fontId="2" fillId="4" borderId="0" xfId="5" applyNumberFormat="1" applyFont="1" applyFill="1" applyProtection="1">
      <protection locked="0"/>
    </xf>
    <xf numFmtId="8" fontId="2" fillId="4" borderId="0" xfId="2" applyFont="1" applyFill="1" applyBorder="1" applyProtection="1">
      <protection locked="0"/>
    </xf>
    <xf numFmtId="0" fontId="16" fillId="4" borderId="10" xfId="5" applyFont="1" applyFill="1" applyBorder="1" applyProtection="1">
      <protection locked="0"/>
    </xf>
    <xf numFmtId="7" fontId="2" fillId="4" borderId="2" xfId="5" applyNumberFormat="1" applyFont="1" applyFill="1" applyBorder="1"/>
    <xf numFmtId="2" fontId="2" fillId="4" borderId="17" xfId="5" applyNumberFormat="1" applyFont="1" applyFill="1" applyBorder="1"/>
    <xf numFmtId="10" fontId="2" fillId="4" borderId="0" xfId="5" applyNumberFormat="1" applyFont="1" applyFill="1" applyProtection="1">
      <protection locked="0"/>
    </xf>
    <xf numFmtId="0" fontId="2" fillId="4" borderId="0" xfId="5" applyFont="1" applyFill="1" applyAlignment="1" applyProtection="1">
      <alignment horizontal="right"/>
      <protection locked="0"/>
    </xf>
    <xf numFmtId="7" fontId="2" fillId="4" borderId="15" xfId="5" applyNumberFormat="1" applyFont="1" applyFill="1" applyBorder="1"/>
    <xf numFmtId="0" fontId="2" fillId="4" borderId="11" xfId="5" applyFont="1" applyFill="1" applyBorder="1" applyProtection="1">
      <protection locked="0"/>
    </xf>
    <xf numFmtId="0" fontId="2" fillId="4" borderId="1" xfId="5" applyFont="1" applyFill="1" applyBorder="1" applyProtection="1">
      <protection locked="0"/>
    </xf>
    <xf numFmtId="7" fontId="2" fillId="4" borderId="1" xfId="5" applyNumberFormat="1" applyFont="1" applyFill="1" applyBorder="1" applyProtection="1">
      <protection locked="0"/>
    </xf>
    <xf numFmtId="0" fontId="2" fillId="4" borderId="1" xfId="5" applyFont="1" applyFill="1" applyBorder="1" applyAlignment="1" applyProtection="1">
      <alignment horizontal="center"/>
      <protection locked="0"/>
    </xf>
    <xf numFmtId="7" fontId="2" fillId="4" borderId="18" xfId="5" applyNumberFormat="1" applyFont="1" applyFill="1" applyBorder="1"/>
    <xf numFmtId="7" fontId="2" fillId="4" borderId="19" xfId="5" applyNumberFormat="1" applyFont="1" applyFill="1" applyBorder="1"/>
    <xf numFmtId="0" fontId="2" fillId="4" borderId="12" xfId="5" applyFont="1" applyFill="1" applyBorder="1" applyProtection="1">
      <protection locked="0"/>
    </xf>
    <xf numFmtId="0" fontId="2" fillId="4" borderId="13" xfId="5" applyFont="1" applyFill="1" applyBorder="1" applyProtection="1">
      <protection locked="0"/>
    </xf>
    <xf numFmtId="7" fontId="2" fillId="4" borderId="14" xfId="5" applyNumberFormat="1" applyFont="1" applyFill="1" applyBorder="1"/>
    <xf numFmtId="7" fontId="2" fillId="4" borderId="20" xfId="5" applyNumberFormat="1" applyFont="1" applyFill="1" applyBorder="1"/>
    <xf numFmtId="9" fontId="2" fillId="4" borderId="0" xfId="5" applyNumberFormat="1" applyFont="1" applyFill="1" applyProtection="1">
      <protection locked="0"/>
    </xf>
    <xf numFmtId="7" fontId="2" fillId="4" borderId="17" xfId="5" applyNumberFormat="1" applyFont="1" applyFill="1" applyBorder="1"/>
    <xf numFmtId="0" fontId="2" fillId="4" borderId="15" xfId="5" applyFont="1" applyFill="1" applyBorder="1"/>
    <xf numFmtId="0" fontId="2" fillId="4" borderId="5" xfId="5" applyFont="1" applyFill="1" applyBorder="1"/>
    <xf numFmtId="22" fontId="0" fillId="0" borderId="0" xfId="0" applyNumberFormat="1"/>
    <xf numFmtId="10" fontId="0" fillId="0" borderId="0" xfId="0" applyNumberFormat="1"/>
    <xf numFmtId="0" fontId="17" fillId="0" borderId="0" xfId="0" applyFont="1" applyAlignment="1">
      <alignment vertical="center" wrapText="1"/>
    </xf>
    <xf numFmtId="0" fontId="4" fillId="0" borderId="0" xfId="0" applyFont="1" applyAlignment="1">
      <alignment vertical="center" wrapText="1"/>
    </xf>
    <xf numFmtId="0" fontId="6" fillId="0" borderId="14" xfId="0" applyFont="1" applyBorder="1"/>
    <xf numFmtId="0" fontId="0" fillId="0" borderId="3" xfId="0" applyBorder="1" applyAlignment="1">
      <alignment horizontal="center"/>
    </xf>
    <xf numFmtId="8" fontId="0" fillId="0" borderId="3" xfId="0" applyNumberFormat="1" applyBorder="1" applyAlignment="1">
      <alignment horizontal="center"/>
    </xf>
    <xf numFmtId="0" fontId="0" fillId="0" borderId="4" xfId="0" applyBorder="1" applyAlignment="1">
      <alignment horizontal="left"/>
    </xf>
    <xf numFmtId="0" fontId="0" fillId="0" borderId="4" xfId="0" applyBorder="1"/>
    <xf numFmtId="0" fontId="1" fillId="0" borderId="4" xfId="0" applyFont="1" applyBorder="1"/>
    <xf numFmtId="0" fontId="23" fillId="0" borderId="4" xfId="0" applyFont="1" applyBorder="1" applyAlignment="1">
      <alignment vertical="center" wrapText="1"/>
    </xf>
    <xf numFmtId="0" fontId="18" fillId="0" borderId="3" xfId="0" applyFont="1" applyBorder="1" applyAlignment="1">
      <alignment horizontal="center" vertical="center" wrapText="1"/>
    </xf>
    <xf numFmtId="8" fontId="18" fillId="0" borderId="3" xfId="0" applyNumberFormat="1" applyFont="1" applyBorder="1" applyAlignment="1">
      <alignment horizontal="center" vertical="center" wrapText="1"/>
    </xf>
    <xf numFmtId="0" fontId="23" fillId="0" borderId="4" xfId="0" applyFont="1" applyBorder="1" applyAlignment="1">
      <alignment horizontal="left" vertical="center" wrapText="1"/>
    </xf>
    <xf numFmtId="0" fontId="23" fillId="0" borderId="5" xfId="0" applyFont="1" applyBorder="1" applyAlignment="1">
      <alignment horizontal="right" vertical="center" wrapText="1"/>
    </xf>
    <xf numFmtId="0" fontId="17" fillId="0" borderId="4" xfId="0" applyFont="1" applyBorder="1" applyAlignment="1">
      <alignment horizontal="right" vertical="center" wrapText="1"/>
    </xf>
    <xf numFmtId="0" fontId="17" fillId="0" borderId="6" xfId="0" applyFont="1" applyBorder="1" applyAlignment="1">
      <alignment horizontal="center" vertical="center" wrapText="1"/>
    </xf>
    <xf numFmtId="0" fontId="17" fillId="0" borderId="6" xfId="0" applyFont="1" applyBorder="1" applyAlignment="1">
      <alignment horizontal="right" vertical="center" wrapText="1"/>
    </xf>
    <xf numFmtId="0" fontId="17" fillId="0" borderId="6" xfId="0" applyFont="1" applyBorder="1" applyAlignment="1">
      <alignment vertical="center" wrapText="1"/>
    </xf>
    <xf numFmtId="2" fontId="2" fillId="0" borderId="5" xfId="0" applyNumberFormat="1" applyFont="1" applyBorder="1" applyAlignment="1">
      <alignment horizontal="center"/>
    </xf>
    <xf numFmtId="8" fontId="19" fillId="0" borderId="3" xfId="1" applyFont="1" applyBorder="1"/>
    <xf numFmtId="0" fontId="3" fillId="5" borderId="3" xfId="0" applyFont="1" applyFill="1" applyBorder="1"/>
    <xf numFmtId="8" fontId="19" fillId="0" borderId="0" xfId="1" applyFont="1"/>
    <xf numFmtId="0" fontId="4" fillId="5" borderId="21" xfId="0" applyFont="1" applyFill="1" applyBorder="1" applyAlignment="1">
      <alignment horizontal="center"/>
    </xf>
    <xf numFmtId="0" fontId="20" fillId="0" borderId="22" xfId="0" applyFont="1" applyBorder="1"/>
    <xf numFmtId="0" fontId="20" fillId="0" borderId="23" xfId="0" applyFont="1" applyBorder="1"/>
    <xf numFmtId="8" fontId="19" fillId="0" borderId="24" xfId="1" applyFont="1" applyBorder="1"/>
    <xf numFmtId="0" fontId="20" fillId="0" borderId="25" xfId="0" applyFont="1" applyBorder="1"/>
    <xf numFmtId="0" fontId="20" fillId="0" borderId="8" xfId="0" applyFont="1" applyBorder="1"/>
    <xf numFmtId="0" fontId="20" fillId="0" borderId="26" xfId="0" applyFont="1" applyBorder="1"/>
    <xf numFmtId="0" fontId="20" fillId="0" borderId="27" xfId="0" applyFont="1" applyBorder="1"/>
    <xf numFmtId="0" fontId="20" fillId="0" borderId="28" xfId="0" applyFont="1" applyBorder="1"/>
    <xf numFmtId="0" fontId="20" fillId="0" borderId="29" xfId="0" applyFont="1" applyBorder="1"/>
    <xf numFmtId="8" fontId="19" fillId="0" borderId="30" xfId="1" applyFont="1" applyBorder="1"/>
    <xf numFmtId="8" fontId="19" fillId="0" borderId="31" xfId="1" applyFont="1" applyBorder="1"/>
    <xf numFmtId="0" fontId="4" fillId="5" borderId="32" xfId="0" applyFont="1" applyFill="1" applyBorder="1"/>
    <xf numFmtId="0" fontId="4" fillId="5" borderId="33" xfId="0" applyFont="1" applyFill="1" applyBorder="1"/>
    <xf numFmtId="9" fontId="23" fillId="0" borderId="5" xfId="0" applyNumberFormat="1" applyFont="1" applyBorder="1" applyAlignment="1">
      <alignment horizontal="center" vertical="center" wrapText="1"/>
    </xf>
    <xf numFmtId="9" fontId="6" fillId="0" borderId="5" xfId="0" applyNumberFormat="1" applyFont="1" applyBorder="1"/>
    <xf numFmtId="0" fontId="1" fillId="0" borderId="0" xfId="0" applyFont="1"/>
    <xf numFmtId="168" fontId="1" fillId="0" borderId="0" xfId="0" applyNumberFormat="1" applyFont="1"/>
    <xf numFmtId="8" fontId="1" fillId="0" borderId="0" xfId="1" applyFont="1"/>
    <xf numFmtId="17" fontId="20" fillId="0" borderId="25" xfId="0" applyNumberFormat="1" applyFont="1" applyBorder="1"/>
    <xf numFmtId="0" fontId="20" fillId="0" borderId="0" xfId="0" applyFont="1"/>
    <xf numFmtId="0" fontId="21" fillId="0" borderId="0" xfId="0" applyFont="1" applyAlignment="1">
      <alignment horizontal="center"/>
    </xf>
    <xf numFmtId="0" fontId="4" fillId="0" borderId="0" xfId="0" applyFont="1" applyAlignment="1">
      <alignment horizontal="right"/>
    </xf>
    <xf numFmtId="8" fontId="19" fillId="0" borderId="0" xfId="1" applyFont="1" applyFill="1" applyBorder="1"/>
    <xf numFmtId="0" fontId="12" fillId="0" borderId="0" xfId="0" applyFont="1"/>
    <xf numFmtId="0" fontId="26" fillId="0" borderId="0" xfId="0" applyFont="1"/>
    <xf numFmtId="164" fontId="2" fillId="5" borderId="3" xfId="0" applyNumberFormat="1" applyFont="1" applyFill="1" applyBorder="1" applyAlignment="1">
      <alignment horizontal="center"/>
    </xf>
    <xf numFmtId="0" fontId="2" fillId="5" borderId="3" xfId="0" applyFont="1" applyFill="1" applyBorder="1" applyAlignment="1">
      <alignment horizontal="center"/>
    </xf>
    <xf numFmtId="4" fontId="2" fillId="5" borderId="3" xfId="0" applyNumberFormat="1" applyFont="1" applyFill="1" applyBorder="1" applyAlignment="1">
      <alignment horizontal="center"/>
    </xf>
    <xf numFmtId="2" fontId="2" fillId="5" borderId="3" xfId="0" applyNumberFormat="1" applyFont="1" applyFill="1" applyBorder="1" applyAlignment="1">
      <alignment horizontal="center"/>
    </xf>
    <xf numFmtId="44" fontId="19" fillId="0" borderId="0" xfId="7" applyFont="1" applyFill="1" applyBorder="1"/>
    <xf numFmtId="8" fontId="0" fillId="0" borderId="0" xfId="1" applyFont="1"/>
    <xf numFmtId="10" fontId="19" fillId="6" borderId="0" xfId="11" applyNumberFormat="1" applyFont="1" applyFill="1" applyBorder="1"/>
    <xf numFmtId="0" fontId="4" fillId="0" borderId="3" xfId="0" applyFont="1" applyBorder="1" applyAlignment="1">
      <alignment vertical="center" wrapText="1"/>
    </xf>
    <xf numFmtId="0" fontId="17" fillId="0" borderId="6" xfId="0" applyFont="1" applyBorder="1" applyAlignment="1">
      <alignment horizontal="center" vertical="center" wrapText="1"/>
    </xf>
    <xf numFmtId="0" fontId="4" fillId="0" borderId="38" xfId="0" applyFont="1" applyBorder="1" applyAlignment="1">
      <alignment vertical="center" wrapText="1"/>
    </xf>
    <xf numFmtId="0" fontId="4" fillId="5" borderId="34" xfId="0" applyFont="1" applyFill="1" applyBorder="1" applyAlignment="1">
      <alignment horizontal="center"/>
    </xf>
    <xf numFmtId="0" fontId="4" fillId="5" borderId="35" xfId="0" applyFont="1" applyFill="1" applyBorder="1" applyAlignment="1">
      <alignment horizontal="center"/>
    </xf>
    <xf numFmtId="0" fontId="4" fillId="5" borderId="36" xfId="0" applyFont="1" applyFill="1" applyBorder="1" applyAlignment="1">
      <alignment horizontal="center"/>
    </xf>
    <xf numFmtId="0" fontId="4" fillId="5" borderId="37" xfId="0" applyFont="1" applyFill="1" applyBorder="1" applyAlignment="1">
      <alignment horizontal="center"/>
    </xf>
    <xf numFmtId="0" fontId="15" fillId="3" borderId="12" xfId="5" applyFont="1" applyFill="1" applyBorder="1" applyAlignment="1" applyProtection="1">
      <alignment horizontal="center"/>
      <protection locked="0"/>
    </xf>
    <xf numFmtId="0" fontId="15" fillId="3" borderId="13" xfId="5" applyFont="1" applyFill="1" applyBorder="1" applyAlignment="1" applyProtection="1">
      <alignment horizontal="center"/>
      <protection locked="0"/>
    </xf>
    <xf numFmtId="0" fontId="1" fillId="3" borderId="10" xfId="5" applyFill="1" applyBorder="1" applyAlignment="1">
      <alignment horizontal="left" vertical="center" wrapText="1" indent="1"/>
    </xf>
    <xf numFmtId="0" fontId="2" fillId="3" borderId="0" xfId="5" applyFont="1" applyFill="1" applyAlignment="1">
      <alignment horizontal="left" vertical="center" wrapText="1" indent="1"/>
    </xf>
    <xf numFmtId="0" fontId="2" fillId="3" borderId="10" xfId="5" applyFont="1" applyFill="1" applyBorder="1" applyAlignment="1">
      <alignment horizontal="left" vertical="center" wrapText="1" indent="1"/>
    </xf>
    <xf numFmtId="0" fontId="2" fillId="3" borderId="11" xfId="5" applyFont="1" applyFill="1" applyBorder="1" applyAlignment="1">
      <alignment horizontal="left" vertical="center" wrapText="1" indent="1"/>
    </xf>
    <xf numFmtId="0" fontId="2" fillId="3" borderId="1" xfId="5" applyFont="1" applyFill="1" applyBorder="1" applyAlignment="1">
      <alignment horizontal="left" vertical="center" wrapText="1" indent="1"/>
    </xf>
    <xf numFmtId="167" fontId="0" fillId="0" borderId="0" xfId="0" applyNumberFormat="1" applyAlignment="1">
      <alignment horizontal="left"/>
    </xf>
    <xf numFmtId="8" fontId="8" fillId="0" borderId="0" xfId="1" applyFont="1" applyAlignment="1">
      <alignment horizontal="center"/>
    </xf>
  </cellXfs>
  <cellStyles count="12">
    <cellStyle name="Currency" xfId="1" builtinId="4"/>
    <cellStyle name="Currency 2" xfId="2" xr:uid="{00000000-0005-0000-0000-000001000000}"/>
    <cellStyle name="Currency 3" xfId="7" xr:uid="{00000000-0005-0000-0000-000002000000}"/>
    <cellStyle name="Normal" xfId="0" builtinId="0"/>
    <cellStyle name="Normal 2" xfId="3" xr:uid="{00000000-0005-0000-0000-000004000000}"/>
    <cellStyle name="Normal 2 2" xfId="8" xr:uid="{00000000-0005-0000-0000-000005000000}"/>
    <cellStyle name="Normal 3" xfId="4" xr:uid="{00000000-0005-0000-0000-000006000000}"/>
    <cellStyle name="Normal 4" xfId="5" xr:uid="{00000000-0005-0000-0000-000007000000}"/>
    <cellStyle name="Normal 5" xfId="6" xr:uid="{00000000-0005-0000-0000-000008000000}"/>
    <cellStyle name="Normal 6" xfId="10" xr:uid="{0C9AC69F-25D2-44C6-BF88-A2A94E04D5AE}"/>
    <cellStyle name="Percent" xfId="11" builtinId="5"/>
    <cellStyle name="Percent 2" xfId="9" xr:uid="{00000000-0005-0000-0000-000009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800100</xdr:colOff>
      <xdr:row>7</xdr:row>
      <xdr:rowOff>62865</xdr:rowOff>
    </xdr:to>
    <xdr:pic>
      <xdr:nvPicPr>
        <xdr:cNvPr id="1222" name="Picture 1">
          <a:extLst>
            <a:ext uri="{FF2B5EF4-FFF2-40B4-BE49-F238E27FC236}">
              <a16:creationId xmlns:a16="http://schemas.microsoft.com/office/drawing/2014/main" id="{00000000-0008-0000-0600-0000C604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3314700" cy="1400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334"/>
  <sheetViews>
    <sheetView showGridLines="0" topLeftCell="A199" zoomScale="85" zoomScaleNormal="85" workbookViewId="0">
      <selection activeCell="A3" sqref="A3"/>
    </sheetView>
  </sheetViews>
  <sheetFormatPr baseColWidth="10" defaultColWidth="9" defaultRowHeight="13"/>
  <cols>
    <col min="1" max="1" width="28.3984375" customWidth="1"/>
    <col min="2" max="2" width="13" customWidth="1"/>
    <col min="3" max="3" width="9.19921875" style="16" customWidth="1"/>
    <col min="4" max="4" width="12.796875" customWidth="1"/>
    <col min="6" max="6" width="10.3984375" customWidth="1"/>
    <col min="7" max="7" width="11.19921875" customWidth="1"/>
    <col min="9" max="9" width="10.3984375" customWidth="1"/>
    <col min="10" max="10" width="12" customWidth="1"/>
  </cols>
  <sheetData>
    <row r="1" spans="1:21" ht="14" thickBot="1">
      <c r="A1" s="12" t="s">
        <v>69</v>
      </c>
      <c r="B1" s="12"/>
      <c r="C1" s="13"/>
      <c r="D1" s="12" t="s">
        <v>17</v>
      </c>
      <c r="E1" s="12"/>
      <c r="F1" s="13" t="s">
        <v>4</v>
      </c>
      <c r="G1" s="12" t="s">
        <v>5</v>
      </c>
      <c r="H1" s="2"/>
      <c r="I1" s="2"/>
      <c r="N1">
        <v>10</v>
      </c>
      <c r="O1" t="s">
        <v>463</v>
      </c>
      <c r="P1">
        <v>83</v>
      </c>
      <c r="Q1" s="135" t="s">
        <v>356</v>
      </c>
      <c r="T1">
        <v>108</v>
      </c>
      <c r="U1" s="136" t="s">
        <v>374</v>
      </c>
    </row>
    <row r="2" spans="1:21" ht="14" thickBot="1">
      <c r="A2" s="63" t="s">
        <v>540</v>
      </c>
      <c r="B2" s="9"/>
      <c r="C2" s="1"/>
      <c r="D2" s="65" t="s">
        <v>153</v>
      </c>
      <c r="E2" s="1"/>
      <c r="F2" s="66" t="s">
        <v>144</v>
      </c>
      <c r="G2" s="65" t="s">
        <v>41</v>
      </c>
      <c r="H2" s="1"/>
      <c r="I2" s="1"/>
      <c r="N2">
        <v>11</v>
      </c>
      <c r="O2" t="s">
        <v>464</v>
      </c>
      <c r="P2">
        <v>84</v>
      </c>
      <c r="Q2" s="136" t="s">
        <v>358</v>
      </c>
      <c r="T2">
        <v>109</v>
      </c>
      <c r="U2" s="135" t="s">
        <v>359</v>
      </c>
    </row>
    <row r="3" spans="1:21" ht="14" thickBot="1">
      <c r="A3" s="63" t="s">
        <v>541</v>
      </c>
      <c r="B3" s="9"/>
      <c r="C3" s="1"/>
      <c r="D3" s="65"/>
      <c r="E3" s="1"/>
      <c r="F3" s="66"/>
      <c r="G3" s="65"/>
      <c r="H3" s="1"/>
      <c r="I3" s="1"/>
      <c r="N3">
        <v>12</v>
      </c>
      <c r="O3" t="s">
        <v>465</v>
      </c>
      <c r="P3">
        <v>85</v>
      </c>
      <c r="Q3" s="136" t="s">
        <v>369</v>
      </c>
      <c r="T3">
        <v>110</v>
      </c>
      <c r="U3" s="135" t="s">
        <v>360</v>
      </c>
    </row>
    <row r="4" spans="1:21" ht="14" thickBot="1">
      <c r="A4" s="64" t="s">
        <v>141</v>
      </c>
      <c r="B4" s="2"/>
      <c r="C4" s="1"/>
      <c r="D4" s="1"/>
      <c r="E4" s="1"/>
      <c r="F4" s="1"/>
      <c r="G4" s="1"/>
      <c r="H4" s="1"/>
      <c r="I4" s="1"/>
      <c r="N4">
        <v>13</v>
      </c>
      <c r="O4" t="s">
        <v>466</v>
      </c>
      <c r="P4">
        <v>86</v>
      </c>
      <c r="Q4" s="136" t="s">
        <v>370</v>
      </c>
      <c r="T4">
        <v>111</v>
      </c>
      <c r="U4" s="135" t="s">
        <v>361</v>
      </c>
    </row>
    <row r="5" spans="1:21" ht="14" thickBot="1">
      <c r="A5" s="64" t="s">
        <v>142</v>
      </c>
      <c r="B5" s="2"/>
      <c r="C5" s="1"/>
      <c r="D5" s="1"/>
      <c r="E5" s="1"/>
      <c r="F5" s="1"/>
      <c r="G5" s="1"/>
      <c r="H5" s="1"/>
      <c r="I5" s="1"/>
      <c r="N5">
        <v>14</v>
      </c>
      <c r="O5" t="s">
        <v>467</v>
      </c>
      <c r="P5">
        <v>87</v>
      </c>
      <c r="Q5" s="136" t="s">
        <v>371</v>
      </c>
      <c r="T5">
        <v>112</v>
      </c>
      <c r="U5" s="135" t="s">
        <v>362</v>
      </c>
    </row>
    <row r="6" spans="1:21" ht="14" thickBot="1">
      <c r="A6" s="64" t="s">
        <v>143</v>
      </c>
      <c r="B6" s="2"/>
      <c r="C6" s="1"/>
      <c r="D6" s="1"/>
      <c r="E6" s="1"/>
      <c r="F6" s="1"/>
      <c r="G6" s="1"/>
      <c r="H6" s="1"/>
      <c r="I6" s="1"/>
      <c r="N6">
        <v>15</v>
      </c>
      <c r="O6" t="s">
        <v>468</v>
      </c>
      <c r="P6">
        <v>88</v>
      </c>
      <c r="Q6" s="136" t="s">
        <v>372</v>
      </c>
      <c r="T6">
        <v>113</v>
      </c>
      <c r="U6" s="135" t="s">
        <v>363</v>
      </c>
    </row>
    <row r="7" spans="1:21" ht="14" thickBot="1">
      <c r="A7" s="2"/>
      <c r="B7" s="2"/>
      <c r="C7" s="1"/>
      <c r="D7" s="1"/>
      <c r="E7" s="1"/>
      <c r="F7" s="1"/>
      <c r="G7" s="1"/>
      <c r="H7" s="1"/>
      <c r="I7" s="1"/>
      <c r="N7">
        <v>16</v>
      </c>
      <c r="O7" t="s">
        <v>469</v>
      </c>
      <c r="P7">
        <v>89</v>
      </c>
      <c r="Q7" s="136" t="s">
        <v>373</v>
      </c>
      <c r="T7">
        <v>114</v>
      </c>
      <c r="U7" s="135" t="s">
        <v>364</v>
      </c>
    </row>
    <row r="8" spans="1:21" ht="14" thickBot="1">
      <c r="A8" s="28" t="s">
        <v>6</v>
      </c>
      <c r="B8" s="33"/>
      <c r="C8" s="10" t="s">
        <v>7</v>
      </c>
      <c r="D8" s="10" t="s">
        <v>8</v>
      </c>
      <c r="E8" s="10" t="s">
        <v>9</v>
      </c>
      <c r="F8" s="10" t="s">
        <v>10</v>
      </c>
      <c r="G8" s="10" t="s">
        <v>11</v>
      </c>
      <c r="H8" s="10" t="s">
        <v>9</v>
      </c>
      <c r="I8" s="10" t="s">
        <v>12</v>
      </c>
      <c r="J8" t="s">
        <v>16</v>
      </c>
      <c r="K8" t="s">
        <v>19</v>
      </c>
      <c r="N8">
        <v>17</v>
      </c>
      <c r="O8" t="s">
        <v>470</v>
      </c>
      <c r="P8">
        <v>90</v>
      </c>
      <c r="Q8" s="136" t="s">
        <v>374</v>
      </c>
      <c r="T8">
        <v>115</v>
      </c>
      <c r="U8" s="135" t="s">
        <v>365</v>
      </c>
    </row>
    <row r="9" spans="1:21" ht="14" thickBot="1">
      <c r="A9" s="29"/>
      <c r="B9" s="34"/>
      <c r="C9" s="10"/>
      <c r="D9" s="20"/>
      <c r="E9" s="10"/>
      <c r="F9" s="21"/>
      <c r="G9" s="25"/>
      <c r="H9" s="10"/>
      <c r="I9" s="22"/>
      <c r="J9" s="18"/>
      <c r="K9" s="18"/>
      <c r="N9">
        <v>18</v>
      </c>
      <c r="O9" t="s">
        <v>471</v>
      </c>
      <c r="P9">
        <v>91</v>
      </c>
      <c r="Q9" s="135" t="s">
        <v>359</v>
      </c>
      <c r="T9">
        <v>116</v>
      </c>
      <c r="U9" s="136" t="s">
        <v>379</v>
      </c>
    </row>
    <row r="10" spans="1:21" ht="14" thickBot="1">
      <c r="A10" s="29"/>
      <c r="B10" s="34"/>
      <c r="C10" s="10"/>
      <c r="D10" s="20"/>
      <c r="E10" s="10"/>
      <c r="F10" s="21"/>
      <c r="G10" s="25"/>
      <c r="H10" s="10"/>
      <c r="I10" s="22"/>
      <c r="J10" s="18"/>
      <c r="K10" s="18"/>
      <c r="N10">
        <v>19</v>
      </c>
      <c r="O10" t="s">
        <v>472</v>
      </c>
      <c r="P10">
        <v>92</v>
      </c>
      <c r="Q10" s="135" t="s">
        <v>360</v>
      </c>
      <c r="T10">
        <v>117</v>
      </c>
      <c r="U10" s="135" t="s">
        <v>366</v>
      </c>
    </row>
    <row r="11" spans="1:21" ht="14" thickBot="1">
      <c r="A11" s="30" t="s">
        <v>24</v>
      </c>
      <c r="B11" s="38">
        <f>SUM(J12:J14)</f>
        <v>0</v>
      </c>
      <c r="C11" s="10"/>
      <c r="D11" s="20"/>
      <c r="E11" s="10"/>
      <c r="F11" s="21"/>
      <c r="G11" s="25"/>
      <c r="H11" s="10"/>
      <c r="I11" s="22"/>
      <c r="J11" s="18"/>
      <c r="K11" s="18"/>
      <c r="P11">
        <v>93</v>
      </c>
      <c r="Q11" s="135" t="s">
        <v>361</v>
      </c>
      <c r="T11">
        <v>118</v>
      </c>
      <c r="U11" s="135" t="s">
        <v>367</v>
      </c>
    </row>
    <row r="12" spans="1:21" ht="14" thickBot="1">
      <c r="A12" s="31" t="s">
        <v>39</v>
      </c>
      <c r="B12" s="36"/>
      <c r="C12" s="10"/>
      <c r="D12" s="20">
        <f>F326/100</f>
        <v>8285.2000000000007</v>
      </c>
      <c r="E12" s="10" t="s">
        <v>83</v>
      </c>
      <c r="F12" s="21">
        <f>+D12*C12</f>
        <v>0</v>
      </c>
      <c r="G12" s="25">
        <f>F326/10000</f>
        <v>82.852000000000004</v>
      </c>
      <c r="H12" s="10" t="s">
        <v>83</v>
      </c>
      <c r="I12" s="22">
        <f>+G12*C12</f>
        <v>0</v>
      </c>
      <c r="J12" s="18">
        <f>+(((I12*$I$323)+(F12*(1+$E$323)))*(1+$C$329))</f>
        <v>0</v>
      </c>
      <c r="K12" s="18">
        <f t="shared" ref="K12:K86" si="0">IF(J12=0,0,J12/C12)</f>
        <v>0</v>
      </c>
      <c r="P12">
        <v>94</v>
      </c>
      <c r="Q12" s="135" t="s">
        <v>362</v>
      </c>
      <c r="T12">
        <v>119</v>
      </c>
      <c r="U12" s="135" t="s">
        <v>368</v>
      </c>
    </row>
    <row r="13" spans="1:21" ht="14" thickBot="1">
      <c r="A13" s="31" t="s">
        <v>40</v>
      </c>
      <c r="B13" s="36"/>
      <c r="C13" s="10"/>
      <c r="D13" s="20">
        <v>1500</v>
      </c>
      <c r="E13" s="10" t="s">
        <v>83</v>
      </c>
      <c r="F13" s="21">
        <f>+D13*C13</f>
        <v>0</v>
      </c>
      <c r="G13" s="25">
        <v>30</v>
      </c>
      <c r="H13" s="10" t="s">
        <v>83</v>
      </c>
      <c r="I13" s="22">
        <f>+G13*C13</f>
        <v>0</v>
      </c>
      <c r="J13" s="18">
        <f>+(((I13*$I$323)+(F13*(1+$E$323)))*(1+$C$329))</f>
        <v>0</v>
      </c>
      <c r="K13" s="18">
        <f t="shared" si="0"/>
        <v>0</v>
      </c>
      <c r="P13">
        <v>95</v>
      </c>
      <c r="Q13" s="135" t="s">
        <v>363</v>
      </c>
      <c r="T13">
        <v>120</v>
      </c>
      <c r="U13" s="135" t="s">
        <v>460</v>
      </c>
    </row>
    <row r="14" spans="1:21" ht="14" thickBot="1">
      <c r="A14" s="31"/>
      <c r="B14" s="36"/>
      <c r="C14" s="10"/>
      <c r="D14" s="20"/>
      <c r="E14" s="10"/>
      <c r="F14" s="21"/>
      <c r="G14" s="25"/>
      <c r="H14" s="10"/>
      <c r="I14" s="22"/>
      <c r="J14" s="18"/>
      <c r="K14" s="18"/>
      <c r="P14">
        <v>96</v>
      </c>
      <c r="Q14" s="135" t="s">
        <v>364</v>
      </c>
    </row>
    <row r="15" spans="1:21" ht="14" thickBot="1">
      <c r="A15" s="30" t="s">
        <v>33</v>
      </c>
      <c r="B15" s="38">
        <f>SUM(J16:J158)</f>
        <v>0</v>
      </c>
      <c r="C15" s="10"/>
      <c r="D15" s="20"/>
      <c r="E15" s="10"/>
      <c r="F15" s="21"/>
      <c r="G15" s="25"/>
      <c r="H15" s="10"/>
      <c r="I15" s="22"/>
      <c r="J15" s="18"/>
      <c r="K15" s="18">
        <f t="shared" si="0"/>
        <v>0</v>
      </c>
      <c r="P15">
        <v>97</v>
      </c>
      <c r="Q15" s="135" t="s">
        <v>365</v>
      </c>
    </row>
    <row r="16" spans="1:21" ht="14" thickBot="1">
      <c r="A16" s="31" t="s">
        <v>25</v>
      </c>
      <c r="B16" s="38"/>
      <c r="C16" s="10"/>
      <c r="D16" s="20">
        <v>2000</v>
      </c>
      <c r="E16" s="10" t="s">
        <v>1</v>
      </c>
      <c r="F16" s="21">
        <f>+D16*C16</f>
        <v>0</v>
      </c>
      <c r="G16" s="22">
        <v>10</v>
      </c>
      <c r="H16" s="10" t="s">
        <v>1</v>
      </c>
      <c r="I16" s="22">
        <f>+G16*C16</f>
        <v>0</v>
      </c>
      <c r="J16" s="18">
        <f t="shared" ref="J16:J47" si="1">+(((I16*$I$323)+(F16*(1+$E$323)))*(1+$C$329))</f>
        <v>0</v>
      </c>
      <c r="K16" s="18">
        <f t="shared" si="0"/>
        <v>0</v>
      </c>
      <c r="P16">
        <v>98</v>
      </c>
      <c r="Q16" s="136" t="s">
        <v>379</v>
      </c>
    </row>
    <row r="17" spans="1:21" ht="14" thickBot="1">
      <c r="A17" s="29" t="s">
        <v>187</v>
      </c>
      <c r="B17" s="38"/>
      <c r="C17" s="10"/>
      <c r="D17" s="20">
        <v>400</v>
      </c>
      <c r="E17" s="10" t="s">
        <v>1</v>
      </c>
      <c r="F17" s="21">
        <f>+D17*C17</f>
        <v>0</v>
      </c>
      <c r="G17" s="22">
        <v>4</v>
      </c>
      <c r="H17" s="10" t="s">
        <v>1</v>
      </c>
      <c r="I17" s="22">
        <f>+G17*C17</f>
        <v>0</v>
      </c>
      <c r="J17" s="18">
        <f t="shared" si="1"/>
        <v>0</v>
      </c>
      <c r="K17" s="18">
        <f>IF(J17=0,0,J17/C17)</f>
        <v>0</v>
      </c>
      <c r="P17">
        <v>99</v>
      </c>
      <c r="Q17" s="135" t="s">
        <v>366</v>
      </c>
    </row>
    <row r="18" spans="1:21" ht="14" thickBot="1">
      <c r="A18" s="31" t="s">
        <v>76</v>
      </c>
      <c r="B18" s="36"/>
      <c r="C18" s="10"/>
      <c r="D18" s="20">
        <v>35000</v>
      </c>
      <c r="E18" s="10" t="s">
        <v>1</v>
      </c>
      <c r="F18" s="21">
        <f>+D18*C18</f>
        <v>0</v>
      </c>
      <c r="G18" s="22">
        <v>124</v>
      </c>
      <c r="H18" s="10" t="s">
        <v>1</v>
      </c>
      <c r="I18" s="22">
        <f>+G18*C18</f>
        <v>0</v>
      </c>
      <c r="J18" s="18">
        <f t="shared" si="1"/>
        <v>0</v>
      </c>
      <c r="K18" s="18">
        <f t="shared" si="0"/>
        <v>0</v>
      </c>
      <c r="P18">
        <v>100</v>
      </c>
      <c r="Q18" s="135" t="s">
        <v>367</v>
      </c>
    </row>
    <row r="19" spans="1:21" ht="14" thickBot="1">
      <c r="A19" s="31"/>
      <c r="B19" s="36" t="s">
        <v>155</v>
      </c>
      <c r="C19" s="10"/>
      <c r="D19" s="20">
        <f>((FEEDERS!$D$100*4)/10+FEEDERS!$D$19)*10</f>
        <v>79342.900000000009</v>
      </c>
      <c r="E19" s="10" t="s">
        <v>0</v>
      </c>
      <c r="F19" s="21">
        <f>+(D19*C19)/100</f>
        <v>0</v>
      </c>
      <c r="G19" s="22">
        <f>((FEEDERS!$G$100*4)/10+FEEDERS!$G$19)*10</f>
        <v>335.75</v>
      </c>
      <c r="H19" s="10" t="s">
        <v>0</v>
      </c>
      <c r="I19" s="22">
        <f>+(G19*C19)/100</f>
        <v>0</v>
      </c>
      <c r="J19" s="18">
        <f t="shared" si="1"/>
        <v>0</v>
      </c>
      <c r="K19" s="18">
        <f t="shared" si="0"/>
        <v>0</v>
      </c>
      <c r="P19">
        <v>101</v>
      </c>
      <c r="Q19" s="135" t="s">
        <v>368</v>
      </c>
    </row>
    <row r="20" spans="1:21" ht="14" thickBot="1">
      <c r="A20" s="31"/>
      <c r="B20" s="36" t="s">
        <v>156</v>
      </c>
      <c r="C20" s="10"/>
      <c r="D20" s="20">
        <f>((FEEDERS!$D$119*4)/10+FEEDERS!$D$19)*11</f>
        <v>34010.79</v>
      </c>
      <c r="E20" s="10" t="s">
        <v>0</v>
      </c>
      <c r="F20" s="21">
        <f>+(D20*C20)/100</f>
        <v>0</v>
      </c>
      <c r="G20" s="22">
        <f>((FEEDERS!$G$119*4)/10+FEEDERS!$G$19)*11</f>
        <v>347.32499999999999</v>
      </c>
      <c r="H20" s="10" t="s">
        <v>0</v>
      </c>
      <c r="I20" s="22">
        <f>+(G20*C20)/100</f>
        <v>0</v>
      </c>
      <c r="J20" s="18">
        <f t="shared" si="1"/>
        <v>0</v>
      </c>
      <c r="K20" s="18">
        <f>IF(J20=0,0,J20/C20)</f>
        <v>0</v>
      </c>
    </row>
    <row r="21" spans="1:21" ht="14" thickBot="1">
      <c r="A21" s="31" t="s">
        <v>77</v>
      </c>
      <c r="B21" s="36"/>
      <c r="C21" s="10"/>
      <c r="D21" s="20">
        <v>30000</v>
      </c>
      <c r="E21" s="10" t="s">
        <v>1</v>
      </c>
      <c r="F21" s="21">
        <f>+D21*C21</f>
        <v>0</v>
      </c>
      <c r="G21" s="22">
        <v>104</v>
      </c>
      <c r="H21" s="10" t="s">
        <v>1</v>
      </c>
      <c r="I21" s="22">
        <f>+G21*C21</f>
        <v>0</v>
      </c>
      <c r="J21" s="18">
        <f t="shared" si="1"/>
        <v>0</v>
      </c>
      <c r="K21" s="18">
        <f t="shared" si="0"/>
        <v>0</v>
      </c>
    </row>
    <row r="22" spans="1:21" ht="14" thickBot="1">
      <c r="A22" s="31"/>
      <c r="B22" s="36" t="s">
        <v>155</v>
      </c>
      <c r="C22" s="10"/>
      <c r="D22" s="20">
        <f>((FEEDERS!$D$99*4)/10+FEEDERS!$D$19)*8</f>
        <v>53390.959999999992</v>
      </c>
      <c r="E22" s="10" t="s">
        <v>0</v>
      </c>
      <c r="F22" s="21">
        <f>+(D22*C22)/100</f>
        <v>0</v>
      </c>
      <c r="G22" s="22">
        <f>((FEEDERS!$G$99*4)/10+FEEDERS!$G$19)*8</f>
        <v>255.79999999999998</v>
      </c>
      <c r="H22" s="10" t="s">
        <v>0</v>
      </c>
      <c r="I22" s="22">
        <f>+(G22*C22)/100</f>
        <v>0</v>
      </c>
      <c r="J22" s="18">
        <f t="shared" si="1"/>
        <v>0</v>
      </c>
      <c r="K22" s="18">
        <f t="shared" si="0"/>
        <v>0</v>
      </c>
    </row>
    <row r="23" spans="1:21" ht="14" thickBot="1">
      <c r="A23" s="31"/>
      <c r="B23" s="36" t="s">
        <v>156</v>
      </c>
      <c r="C23" s="10"/>
      <c r="D23" s="20">
        <f>((FEEDERS!$D$119*4)/10+FEEDERS!$D$19)*8</f>
        <v>24735.120000000003</v>
      </c>
      <c r="E23" s="10" t="s">
        <v>0</v>
      </c>
      <c r="F23" s="21">
        <f>+(D23*C23)/100</f>
        <v>0</v>
      </c>
      <c r="G23" s="22">
        <f>((FEEDERS!$G$119*4)/10+FEEDERS!$G$19)*8</f>
        <v>252.6</v>
      </c>
      <c r="H23" s="10" t="s">
        <v>0</v>
      </c>
      <c r="I23" s="22">
        <f>+(G23*C23)/100</f>
        <v>0</v>
      </c>
      <c r="J23" s="18">
        <f t="shared" si="1"/>
        <v>0</v>
      </c>
      <c r="K23" s="18">
        <f>IF(J23=0,0,J23/C23)</f>
        <v>0</v>
      </c>
    </row>
    <row r="24" spans="1:21" ht="14" thickBot="1">
      <c r="A24" s="31" t="s">
        <v>86</v>
      </c>
      <c r="B24" s="36"/>
      <c r="C24" s="10"/>
      <c r="D24" s="20">
        <v>25000</v>
      </c>
      <c r="E24" s="10" t="s">
        <v>1</v>
      </c>
      <c r="F24" s="21">
        <f>+D24*C24</f>
        <v>0</v>
      </c>
      <c r="G24" s="22">
        <v>82</v>
      </c>
      <c r="H24" s="10" t="s">
        <v>1</v>
      </c>
      <c r="I24" s="22">
        <f>+G24*C24</f>
        <v>0</v>
      </c>
      <c r="J24" s="18">
        <f t="shared" si="1"/>
        <v>0</v>
      </c>
      <c r="K24" s="18">
        <f t="shared" si="0"/>
        <v>0</v>
      </c>
    </row>
    <row r="25" spans="1:21" ht="14" thickBot="1">
      <c r="A25" s="31"/>
      <c r="B25" s="36" t="s">
        <v>155</v>
      </c>
      <c r="C25" s="10"/>
      <c r="D25" s="20">
        <f>((FEEDERS!$D$100*4)/10+FEEDERS!$D$19)*6</f>
        <v>47605.740000000005</v>
      </c>
      <c r="E25" s="10" t="s">
        <v>0</v>
      </c>
      <c r="F25" s="21">
        <f>+(D25*C25)/100</f>
        <v>0</v>
      </c>
      <c r="G25" s="22">
        <f>((FEEDERS!$G$100*4)/10+FEEDERS!$G$19)*6</f>
        <v>201.45000000000002</v>
      </c>
      <c r="H25" s="10" t="s">
        <v>0</v>
      </c>
      <c r="I25" s="22">
        <f>+(G25*C25)/100</f>
        <v>0</v>
      </c>
      <c r="J25" s="18">
        <f t="shared" si="1"/>
        <v>0</v>
      </c>
      <c r="K25" s="18">
        <f t="shared" si="0"/>
        <v>0</v>
      </c>
    </row>
    <row r="26" spans="1:21" ht="14" thickBot="1">
      <c r="A26" s="31"/>
      <c r="B26" s="36" t="s">
        <v>156</v>
      </c>
      <c r="C26" s="10"/>
      <c r="D26" s="20">
        <f>((FEEDERS!$D$119*4)/10+FEEDERS!$D$19)*7</f>
        <v>21643.230000000003</v>
      </c>
      <c r="E26" s="10" t="s">
        <v>0</v>
      </c>
      <c r="F26" s="21">
        <f>+(D26*C26)/100</f>
        <v>0</v>
      </c>
      <c r="G26" s="22">
        <f>((FEEDERS!$G$119*4)/10+FEEDERS!$G$19)*7</f>
        <v>221.02500000000001</v>
      </c>
      <c r="H26" s="10" t="s">
        <v>0</v>
      </c>
      <c r="I26" s="22">
        <f>+(G26*C26)/100</f>
        <v>0</v>
      </c>
      <c r="J26" s="18">
        <f t="shared" si="1"/>
        <v>0</v>
      </c>
      <c r="K26" s="18">
        <f>IF(J26=0,0,J26/C26)</f>
        <v>0</v>
      </c>
      <c r="U26" t="s">
        <v>535</v>
      </c>
    </row>
    <row r="27" spans="1:21" ht="14" thickBot="1">
      <c r="A27" s="31" t="s">
        <v>78</v>
      </c>
      <c r="B27" s="36"/>
      <c r="C27" s="10"/>
      <c r="D27" s="20">
        <v>23000</v>
      </c>
      <c r="E27" s="10" t="s">
        <v>1</v>
      </c>
      <c r="F27" s="21">
        <f>+D27*C27</f>
        <v>0</v>
      </c>
      <c r="G27" s="22">
        <v>66</v>
      </c>
      <c r="H27" s="10" t="s">
        <v>1</v>
      </c>
      <c r="I27" s="22">
        <f>+G27*C27</f>
        <v>0</v>
      </c>
      <c r="J27" s="18">
        <f t="shared" si="1"/>
        <v>0</v>
      </c>
      <c r="K27" s="18">
        <f t="shared" si="0"/>
        <v>0</v>
      </c>
    </row>
    <row r="28" spans="1:21" ht="14" thickBot="1">
      <c r="A28" s="31"/>
      <c r="B28" s="36" t="s">
        <v>155</v>
      </c>
      <c r="C28" s="10"/>
      <c r="D28" s="20">
        <f>((FEEDERS!$D$100*4)/10+FEEDERS!$D$19)*5</f>
        <v>39671.450000000004</v>
      </c>
      <c r="E28" s="10" t="s">
        <v>0</v>
      </c>
      <c r="F28" s="21">
        <f>+(D28*C28)/100</f>
        <v>0</v>
      </c>
      <c r="G28" s="22">
        <f>((FEEDERS!$G$100*4)/10+FEEDERS!$G$19)*5</f>
        <v>167.875</v>
      </c>
      <c r="H28" s="10" t="s">
        <v>0</v>
      </c>
      <c r="I28" s="22">
        <f>+(G28*C28)/100</f>
        <v>0</v>
      </c>
      <c r="J28" s="18">
        <f t="shared" si="1"/>
        <v>0</v>
      </c>
      <c r="K28" s="18">
        <f t="shared" si="0"/>
        <v>0</v>
      </c>
    </row>
    <row r="29" spans="1:21" ht="14" thickBot="1">
      <c r="A29" s="31"/>
      <c r="B29" s="36" t="s">
        <v>156</v>
      </c>
      <c r="C29" s="10"/>
      <c r="D29" s="20">
        <f>((FEEDERS!$D$118*4)/10+FEEDERS!$D$19)*6</f>
        <v>16876.86</v>
      </c>
      <c r="E29" s="10" t="s">
        <v>0</v>
      </c>
      <c r="F29" s="21">
        <f>+(D29*C29)/100</f>
        <v>0</v>
      </c>
      <c r="G29" s="22">
        <f>((FEEDERS!$G$118*4)/10+FEEDERS!$G$19)*6</f>
        <v>182.25</v>
      </c>
      <c r="H29" s="10" t="s">
        <v>0</v>
      </c>
      <c r="I29" s="22">
        <f>+(G29*C29)/100</f>
        <v>0</v>
      </c>
      <c r="J29" s="18">
        <f t="shared" si="1"/>
        <v>0</v>
      </c>
      <c r="K29" s="18">
        <f>IF(J29=0,0,J29/C29)</f>
        <v>0</v>
      </c>
    </row>
    <row r="30" spans="1:21" ht="14" thickBot="1">
      <c r="A30" s="31" t="s">
        <v>79</v>
      </c>
      <c r="B30" s="36"/>
      <c r="C30" s="10"/>
      <c r="D30" s="20">
        <v>20000</v>
      </c>
      <c r="E30" s="10" t="s">
        <v>1</v>
      </c>
      <c r="F30" s="21">
        <f>+D30*C30</f>
        <v>0</v>
      </c>
      <c r="G30" s="22">
        <v>55</v>
      </c>
      <c r="H30" s="10" t="s">
        <v>1</v>
      </c>
      <c r="I30" s="22">
        <f>+G30*C30</f>
        <v>0</v>
      </c>
      <c r="J30" s="18">
        <f t="shared" si="1"/>
        <v>0</v>
      </c>
      <c r="K30" s="18">
        <f t="shared" si="0"/>
        <v>0</v>
      </c>
    </row>
    <row r="31" spans="1:21" ht="14" thickBot="1">
      <c r="A31" s="31"/>
      <c r="B31" s="36" t="s">
        <v>155</v>
      </c>
      <c r="C31" s="10"/>
      <c r="D31" s="20">
        <f>((FEEDERS!$D$100*4)/10+FEEDERS!$D$19)*4</f>
        <v>31737.160000000003</v>
      </c>
      <c r="E31" s="10" t="s">
        <v>0</v>
      </c>
      <c r="F31" s="21">
        <f>+(D31*C31)/100</f>
        <v>0</v>
      </c>
      <c r="G31" s="22">
        <f>((FEEDERS!$G$100*4)/10+FEEDERS!$G$19)*4</f>
        <v>134.30000000000001</v>
      </c>
      <c r="H31" s="10" t="s">
        <v>0</v>
      </c>
      <c r="I31" s="22">
        <f>+(G31*C31)/100</f>
        <v>0</v>
      </c>
      <c r="J31" s="18">
        <f t="shared" si="1"/>
        <v>0</v>
      </c>
      <c r="K31" s="18">
        <f t="shared" si="0"/>
        <v>0</v>
      </c>
    </row>
    <row r="32" spans="1:21" ht="14" thickBot="1">
      <c r="A32" s="31"/>
      <c r="B32" s="36" t="s">
        <v>156</v>
      </c>
      <c r="C32" s="10"/>
      <c r="D32" s="20">
        <f>((FEEDERS!$D$118*4)/10+FEEDERS!$D$19)*5</f>
        <v>14064.050000000003</v>
      </c>
      <c r="E32" s="10" t="s">
        <v>0</v>
      </c>
      <c r="F32" s="21">
        <f>+(D32*C32)/100</f>
        <v>0</v>
      </c>
      <c r="G32" s="22">
        <f>((FEEDERS!$G$118*4)/10+FEEDERS!$G$19)*5</f>
        <v>151.875</v>
      </c>
      <c r="H32" s="10" t="s">
        <v>0</v>
      </c>
      <c r="I32" s="22">
        <f>+(G32*C32)/100</f>
        <v>0</v>
      </c>
      <c r="J32" s="18">
        <f t="shared" si="1"/>
        <v>0</v>
      </c>
      <c r="K32" s="18">
        <f>IF(J32=0,0,J32/C32)</f>
        <v>0</v>
      </c>
    </row>
    <row r="33" spans="1:11" ht="14" thickBot="1">
      <c r="A33" s="31" t="s">
        <v>85</v>
      </c>
      <c r="B33" s="36"/>
      <c r="C33" s="10"/>
      <c r="D33" s="20">
        <v>17000</v>
      </c>
      <c r="E33" s="10" t="s">
        <v>1</v>
      </c>
      <c r="F33" s="21">
        <f>+D33*C33</f>
        <v>0</v>
      </c>
      <c r="G33" s="22">
        <v>51</v>
      </c>
      <c r="H33" s="10" t="s">
        <v>1</v>
      </c>
      <c r="I33" s="22">
        <f>+G33*C33</f>
        <v>0</v>
      </c>
      <c r="J33" s="18">
        <f t="shared" si="1"/>
        <v>0</v>
      </c>
      <c r="K33" s="18">
        <f t="shared" si="0"/>
        <v>0</v>
      </c>
    </row>
    <row r="34" spans="1:11" ht="14" thickBot="1">
      <c r="A34" s="31"/>
      <c r="B34" s="36" t="s">
        <v>155</v>
      </c>
      <c r="C34" s="10"/>
      <c r="D34" s="20">
        <f>((FEEDERS!$D$100*4)/10+FEEDERS!$D$19)*3</f>
        <v>23802.870000000003</v>
      </c>
      <c r="E34" s="10" t="s">
        <v>0</v>
      </c>
      <c r="F34" s="21">
        <f>+(D34*C34)/100</f>
        <v>0</v>
      </c>
      <c r="G34" s="22">
        <f>((FEEDERS!$G$100*4)/10+FEEDERS!$G$19)*3</f>
        <v>100.72500000000001</v>
      </c>
      <c r="H34" s="10" t="s">
        <v>0</v>
      </c>
      <c r="I34" s="22">
        <f>+(G34*C34)/100</f>
        <v>0</v>
      </c>
      <c r="J34" s="18">
        <f t="shared" si="1"/>
        <v>0</v>
      </c>
      <c r="K34" s="18">
        <f t="shared" si="0"/>
        <v>0</v>
      </c>
    </row>
    <row r="35" spans="1:11" ht="14" thickBot="1">
      <c r="A35" s="31"/>
      <c r="B35" s="36" t="s">
        <v>156</v>
      </c>
      <c r="C35" s="10"/>
      <c r="D35" s="20">
        <f>((FEEDERS!$D$117*4)/10+FEEDERS!$D$17)*4</f>
        <v>8974.880000000001</v>
      </c>
      <c r="E35" s="10" t="s">
        <v>0</v>
      </c>
      <c r="F35" s="21">
        <f>+(D35*C35)/100</f>
        <v>0</v>
      </c>
      <c r="G35" s="22">
        <f>((FEEDERS!$G$117*4)/10+FEEDERS!$G$17)*4</f>
        <v>95.6</v>
      </c>
      <c r="H35" s="10" t="s">
        <v>0</v>
      </c>
      <c r="I35" s="22">
        <f>+(G35*C35)/100</f>
        <v>0</v>
      </c>
      <c r="J35" s="18">
        <f t="shared" si="1"/>
        <v>0</v>
      </c>
      <c r="K35" s="18">
        <f>IF(J35=0,0,J35/C35)</f>
        <v>0</v>
      </c>
    </row>
    <row r="36" spans="1:11" ht="14" thickBot="1">
      <c r="A36" s="31" t="s">
        <v>84</v>
      </c>
      <c r="B36" s="36"/>
      <c r="C36" s="10"/>
      <c r="D36" s="20">
        <v>15000</v>
      </c>
      <c r="E36" s="10" t="s">
        <v>1</v>
      </c>
      <c r="F36" s="21">
        <f>+D36*C36</f>
        <v>0</v>
      </c>
      <c r="G36" s="22">
        <v>41</v>
      </c>
      <c r="H36" s="10" t="s">
        <v>1</v>
      </c>
      <c r="I36" s="22">
        <f>+G36*C36</f>
        <v>0</v>
      </c>
      <c r="J36" s="18">
        <f t="shared" si="1"/>
        <v>0</v>
      </c>
      <c r="K36" s="18">
        <f t="shared" si="0"/>
        <v>0</v>
      </c>
    </row>
    <row r="37" spans="1:11" ht="14" thickBot="1">
      <c r="A37" s="31"/>
      <c r="B37" s="36" t="s">
        <v>155</v>
      </c>
      <c r="C37" s="10"/>
      <c r="D37" s="20">
        <f>((FEEDERS!$D$98*4)/10+FEEDERS!$D$17)*3</f>
        <v>16171.079999999998</v>
      </c>
      <c r="E37" s="10" t="s">
        <v>0</v>
      </c>
      <c r="F37" s="21">
        <f>+(D37*C37)/100</f>
        <v>0</v>
      </c>
      <c r="G37" s="22">
        <f>((FEEDERS!$G$98*4)/10+FEEDERS!$G$17)*3</f>
        <v>75.300000000000011</v>
      </c>
      <c r="H37" s="10" t="s">
        <v>0</v>
      </c>
      <c r="I37" s="22">
        <f>+(G37*C37)/100</f>
        <v>0</v>
      </c>
      <c r="J37" s="18">
        <f t="shared" si="1"/>
        <v>0</v>
      </c>
      <c r="K37" s="18">
        <f t="shared" si="0"/>
        <v>0</v>
      </c>
    </row>
    <row r="38" spans="1:11" ht="14" thickBot="1">
      <c r="A38" s="31"/>
      <c r="B38" s="36" t="s">
        <v>156</v>
      </c>
      <c r="C38" s="10"/>
      <c r="D38" s="20">
        <f>((FEEDERS!$D$118*4)/10+FEEDERS!$D$19)*3</f>
        <v>8438.43</v>
      </c>
      <c r="E38" s="10" t="s">
        <v>0</v>
      </c>
      <c r="F38" s="21">
        <f>+(D38*C38)/100</f>
        <v>0</v>
      </c>
      <c r="G38" s="22">
        <f>((FEEDERS!$G$118*4)/10+FEEDERS!$G$19)*3</f>
        <v>91.125</v>
      </c>
      <c r="H38" s="10" t="s">
        <v>0</v>
      </c>
      <c r="I38" s="22">
        <f>+(G38*C38)/100</f>
        <v>0</v>
      </c>
      <c r="J38" s="18">
        <f t="shared" si="1"/>
        <v>0</v>
      </c>
      <c r="K38" s="18">
        <f>IF(J38=0,0,J38/C38)</f>
        <v>0</v>
      </c>
    </row>
    <row r="39" spans="1:11" ht="14" thickBot="1">
      <c r="A39" s="29" t="s">
        <v>206</v>
      </c>
      <c r="B39" s="36"/>
      <c r="C39" s="10"/>
      <c r="D39" s="176">
        <v>9000</v>
      </c>
      <c r="E39" s="10" t="s">
        <v>1</v>
      </c>
      <c r="F39" s="21">
        <f>+D39*C39</f>
        <v>0</v>
      </c>
      <c r="G39" s="22">
        <v>33</v>
      </c>
      <c r="H39" s="10" t="s">
        <v>1</v>
      </c>
      <c r="I39" s="22">
        <f>+G39*C39</f>
        <v>0</v>
      </c>
      <c r="J39" s="18">
        <f t="shared" si="1"/>
        <v>0</v>
      </c>
      <c r="K39" s="18">
        <f t="shared" si="0"/>
        <v>0</v>
      </c>
    </row>
    <row r="40" spans="1:11" ht="14" thickBot="1">
      <c r="A40" s="31"/>
      <c r="B40" s="34" t="s">
        <v>177</v>
      </c>
      <c r="C40" s="10"/>
      <c r="D40" s="20">
        <f>((FEEDERS!$D$100*4)/10+FEEDERS!$D$19)*2</f>
        <v>15868.580000000002</v>
      </c>
      <c r="E40" s="10" t="s">
        <v>0</v>
      </c>
      <c r="F40" s="21">
        <f>+(D40*C40)/100</f>
        <v>0</v>
      </c>
      <c r="G40" s="22">
        <f>((FEEDERS!$G$100*4)/10+FEEDERS!$G$19)*2</f>
        <v>67.150000000000006</v>
      </c>
      <c r="H40" s="10" t="s">
        <v>0</v>
      </c>
      <c r="I40" s="22">
        <f>+(G40*C40)/100</f>
        <v>0</v>
      </c>
      <c r="J40" s="18">
        <f t="shared" si="1"/>
        <v>0</v>
      </c>
      <c r="K40" s="18">
        <f t="shared" si="0"/>
        <v>0</v>
      </c>
    </row>
    <row r="41" spans="1:11" ht="14" thickBot="1">
      <c r="A41" s="31"/>
      <c r="B41" s="34" t="s">
        <v>176</v>
      </c>
      <c r="C41" s="10"/>
      <c r="D41" s="20">
        <f>((FEEDERS!$D$99*4)/10+FEEDERS!$D$19)*2</f>
        <v>13347.739999999998</v>
      </c>
      <c r="E41" s="10" t="s">
        <v>0</v>
      </c>
      <c r="F41" s="21">
        <f>+(D41*C41)/100</f>
        <v>0</v>
      </c>
      <c r="G41" s="22">
        <f>((FEEDERS!$G$99*4)/10+FEEDERS!$G$19)*2</f>
        <v>63.949999999999996</v>
      </c>
      <c r="H41" s="10" t="s">
        <v>0</v>
      </c>
      <c r="I41" s="22">
        <f>+(G41*C41)/100</f>
        <v>0</v>
      </c>
      <c r="J41" s="18">
        <f t="shared" si="1"/>
        <v>0</v>
      </c>
      <c r="K41" s="18">
        <f>IF(J41=0,0,J41/C41)</f>
        <v>0</v>
      </c>
    </row>
    <row r="42" spans="1:11" ht="14" thickBot="1">
      <c r="A42" s="31"/>
      <c r="B42" s="36" t="s">
        <v>156</v>
      </c>
      <c r="C42" s="10"/>
      <c r="D42" s="20">
        <f>((FEEDERS!$D$116*4)/10+FEEDERS!$D$16)*3</f>
        <v>5775.9000000000005</v>
      </c>
      <c r="E42" s="10" t="s">
        <v>0</v>
      </c>
      <c r="F42" s="21">
        <f>+(D42*C42)/100</f>
        <v>0</v>
      </c>
      <c r="G42" s="22">
        <f>((FEEDERS!$G$116*4)/10+FEEDERS!$G$16)*3</f>
        <v>66.300000000000011</v>
      </c>
      <c r="H42" s="10" t="s">
        <v>0</v>
      </c>
      <c r="I42" s="22">
        <f>+(G42*C42)/100</f>
        <v>0</v>
      </c>
      <c r="J42" s="18">
        <f t="shared" si="1"/>
        <v>0</v>
      </c>
      <c r="K42" s="18">
        <f>IF(J42=0,0,J42/C42)</f>
        <v>0</v>
      </c>
    </row>
    <row r="43" spans="1:11" ht="14" thickBot="1">
      <c r="A43" s="31" t="s">
        <v>97</v>
      </c>
      <c r="B43" s="36"/>
      <c r="C43" s="10"/>
      <c r="D43" s="176">
        <v>8000</v>
      </c>
      <c r="E43" s="10" t="s">
        <v>1</v>
      </c>
      <c r="F43" s="21">
        <f>+D43*C43</f>
        <v>0</v>
      </c>
      <c r="G43" s="22">
        <v>28</v>
      </c>
      <c r="H43" s="10" t="s">
        <v>1</v>
      </c>
      <c r="I43" s="22">
        <f>+G43*C43</f>
        <v>0</v>
      </c>
      <c r="J43" s="18">
        <f t="shared" si="1"/>
        <v>0</v>
      </c>
      <c r="K43" s="18">
        <f t="shared" si="0"/>
        <v>0</v>
      </c>
    </row>
    <row r="44" spans="1:11" ht="14" thickBot="1">
      <c r="A44" s="31"/>
      <c r="B44" s="36" t="s">
        <v>155</v>
      </c>
      <c r="C44" s="10"/>
      <c r="D44" s="20">
        <f>((FEEDERS!$D$97*4)/10+FEEDERS!$D$17)*2</f>
        <v>9779.4399999999987</v>
      </c>
      <c r="E44" s="10" t="s">
        <v>0</v>
      </c>
      <c r="F44" s="21">
        <f>+(D44*C44)/100</f>
        <v>0</v>
      </c>
      <c r="G44" s="22">
        <f>((FEEDERS!$G$97*4)/10+FEEDERS!$G$17)*2</f>
        <v>48.6</v>
      </c>
      <c r="H44" s="10" t="s">
        <v>0</v>
      </c>
      <c r="I44" s="22">
        <f>+(G44*C44)/100</f>
        <v>0</v>
      </c>
      <c r="J44" s="18">
        <f t="shared" si="1"/>
        <v>0</v>
      </c>
      <c r="K44" s="18">
        <f t="shared" si="0"/>
        <v>0</v>
      </c>
    </row>
    <row r="45" spans="1:11" ht="14" thickBot="1">
      <c r="A45" s="31"/>
      <c r="B45" s="36" t="s">
        <v>156</v>
      </c>
      <c r="C45" s="10"/>
      <c r="D45" s="20">
        <f>((FEEDERS!$D$117*4)/10+FEEDERS!$D$17)*2</f>
        <v>4487.4400000000005</v>
      </c>
      <c r="E45" s="10" t="s">
        <v>0</v>
      </c>
      <c r="F45" s="21">
        <f>+(D45*C45)/100</f>
        <v>0</v>
      </c>
      <c r="G45" s="22">
        <f>((FEEDERS!$G$117*4)/10+FEEDERS!$G$17)*2</f>
        <v>47.8</v>
      </c>
      <c r="H45" s="10" t="s">
        <v>0</v>
      </c>
      <c r="I45" s="22">
        <f>+(G45*C45)/100</f>
        <v>0</v>
      </c>
      <c r="J45" s="18">
        <f t="shared" si="1"/>
        <v>0</v>
      </c>
      <c r="K45" s="18">
        <f t="shared" ref="K45:K50" si="2">IF(J45=0,0,J45/C45)</f>
        <v>0</v>
      </c>
    </row>
    <row r="46" spans="1:11" ht="14" thickBot="1">
      <c r="A46" s="29" t="s">
        <v>205</v>
      </c>
      <c r="B46" s="36"/>
      <c r="C46" s="10"/>
      <c r="D46" s="176">
        <v>3000</v>
      </c>
      <c r="E46" s="10" t="s">
        <v>1</v>
      </c>
      <c r="F46" s="21">
        <f>+D46*C46</f>
        <v>0</v>
      </c>
      <c r="G46" s="22">
        <v>14</v>
      </c>
      <c r="H46" s="10" t="s">
        <v>1</v>
      </c>
      <c r="I46" s="22">
        <f>+G46*C46</f>
        <v>0</v>
      </c>
      <c r="J46" s="18">
        <f t="shared" si="1"/>
        <v>0</v>
      </c>
      <c r="K46" s="18">
        <f t="shared" si="2"/>
        <v>0</v>
      </c>
    </row>
    <row r="47" spans="1:11" ht="14" thickBot="1">
      <c r="A47" s="31"/>
      <c r="B47" s="34" t="s">
        <v>177</v>
      </c>
      <c r="C47" s="10"/>
      <c r="D47" s="20">
        <f>(FEEDERS!$D$100*4)/10+FEEDERS!$D$19</f>
        <v>7934.2900000000009</v>
      </c>
      <c r="E47" s="10" t="s">
        <v>0</v>
      </c>
      <c r="F47" s="21">
        <f>+(D47*C47)/100</f>
        <v>0</v>
      </c>
      <c r="G47" s="22">
        <f>(FEEDERS!$G$100*4)/10+FEEDERS!$G$19</f>
        <v>33.575000000000003</v>
      </c>
      <c r="H47" s="10" t="s">
        <v>0</v>
      </c>
      <c r="I47" s="22">
        <f>+(G47*C47)/100</f>
        <v>0</v>
      </c>
      <c r="J47" s="18">
        <f t="shared" si="1"/>
        <v>0</v>
      </c>
      <c r="K47" s="18">
        <f t="shared" si="2"/>
        <v>0</v>
      </c>
    </row>
    <row r="48" spans="1:11" ht="14" thickBot="1">
      <c r="A48" s="31"/>
      <c r="B48" s="34" t="s">
        <v>176</v>
      </c>
      <c r="C48" s="10"/>
      <c r="D48" s="20">
        <f>(FEEDERS!$D$99*4)/10+FEEDERS!$D$19</f>
        <v>6673.869999999999</v>
      </c>
      <c r="E48" s="10" t="s">
        <v>0</v>
      </c>
      <c r="F48" s="21">
        <f>+(D48*C48)/100</f>
        <v>0</v>
      </c>
      <c r="G48" s="22">
        <f>(FEEDERS!$G$99*4)/10+FEEDERS!$G$19</f>
        <v>31.974999999999998</v>
      </c>
      <c r="H48" s="10" t="s">
        <v>0</v>
      </c>
      <c r="I48" s="22">
        <f>+(G48*C48)/100</f>
        <v>0</v>
      </c>
      <c r="J48" s="18">
        <f t="shared" ref="J48:J79" si="3">+(((I48*$I$323)+(F48*(1+$E$323)))*(1+$C$329))</f>
        <v>0</v>
      </c>
      <c r="K48" s="18">
        <f t="shared" si="2"/>
        <v>0</v>
      </c>
    </row>
    <row r="49" spans="1:11" ht="14" thickBot="1">
      <c r="A49" s="31"/>
      <c r="B49" s="34" t="s">
        <v>462</v>
      </c>
      <c r="C49" s="10"/>
      <c r="D49" s="20">
        <f>((FEEDERS!$D$113*4)/10+FEEDERS!$D$16)*2</f>
        <v>3145.84</v>
      </c>
      <c r="E49" s="10" t="s">
        <v>0</v>
      </c>
      <c r="F49" s="21">
        <f>+(D49*C49)/100</f>
        <v>0</v>
      </c>
      <c r="G49" s="22">
        <f>((FEEDERS!$G$113*4)/10+FEEDERS!$G$16)*2</f>
        <v>40.200000000000003</v>
      </c>
      <c r="H49" s="10" t="s">
        <v>0</v>
      </c>
      <c r="I49" s="22">
        <f>+(G49*C49)/100</f>
        <v>0</v>
      </c>
      <c r="J49" s="18">
        <f t="shared" si="3"/>
        <v>0</v>
      </c>
      <c r="K49" s="18">
        <f t="shared" si="2"/>
        <v>0</v>
      </c>
    </row>
    <row r="50" spans="1:11" ht="14" thickBot="1">
      <c r="A50" s="31"/>
      <c r="B50" s="34" t="s">
        <v>461</v>
      </c>
      <c r="C50" s="10"/>
      <c r="D50" s="20">
        <f>(FEEDERS!$D$119*4)/10+FEEDERS!$D$19</f>
        <v>3091.8900000000003</v>
      </c>
      <c r="E50" s="10" t="s">
        <v>0</v>
      </c>
      <c r="F50" s="21">
        <f>+(D50*C50)/100</f>
        <v>0</v>
      </c>
      <c r="G50" s="22">
        <f>(FEEDERS!$G$119*4)/10+FEEDERS!$G$19</f>
        <v>31.574999999999999</v>
      </c>
      <c r="H50" s="10" t="s">
        <v>0</v>
      </c>
      <c r="I50" s="22">
        <f>+(G50*C50)/100</f>
        <v>0</v>
      </c>
      <c r="J50" s="18">
        <f t="shared" si="3"/>
        <v>0</v>
      </c>
      <c r="K50" s="18">
        <f t="shared" si="2"/>
        <v>0</v>
      </c>
    </row>
    <row r="51" spans="1:11" ht="14" thickBot="1">
      <c r="A51" s="29" t="s">
        <v>180</v>
      </c>
      <c r="B51" s="36"/>
      <c r="C51" s="10"/>
      <c r="D51" s="176">
        <v>2300</v>
      </c>
      <c r="E51" s="10" t="s">
        <v>1</v>
      </c>
      <c r="F51" s="21">
        <f>+D51*C51</f>
        <v>0</v>
      </c>
      <c r="G51" s="22">
        <v>12</v>
      </c>
      <c r="H51" s="10" t="s">
        <v>1</v>
      </c>
      <c r="I51" s="22">
        <f>+G51*C51</f>
        <v>0</v>
      </c>
      <c r="J51" s="18">
        <f t="shared" si="3"/>
        <v>0</v>
      </c>
      <c r="K51" s="18">
        <f t="shared" ref="K51:K56" si="4">IF(J51=0,0,J51/C51)</f>
        <v>0</v>
      </c>
    </row>
    <row r="52" spans="1:11" ht="14" thickBot="1">
      <c r="A52" s="31"/>
      <c r="B52" s="36" t="s">
        <v>155</v>
      </c>
      <c r="C52" s="10"/>
      <c r="D52" s="20">
        <f>(FEEDERS!$D$95*4)/10+FEEDERS!$D$16</f>
        <v>3616.6400000000003</v>
      </c>
      <c r="E52" s="10" t="s">
        <v>0</v>
      </c>
      <c r="F52" s="21">
        <f>+(D52*C52)/100</f>
        <v>0</v>
      </c>
      <c r="G52" s="22">
        <f>(FEEDERS!$G$95*4)/10+FEEDERS!$G$16</f>
        <v>20.9</v>
      </c>
      <c r="H52" s="10" t="s">
        <v>0</v>
      </c>
      <c r="I52" s="22">
        <f>+(G52*C52)/100</f>
        <v>0</v>
      </c>
      <c r="J52" s="18">
        <f t="shared" si="3"/>
        <v>0</v>
      </c>
      <c r="K52" s="18">
        <f t="shared" si="4"/>
        <v>0</v>
      </c>
    </row>
    <row r="53" spans="1:11" ht="14" thickBot="1">
      <c r="A53" s="31"/>
      <c r="B53" s="36" t="s">
        <v>156</v>
      </c>
      <c r="C53" s="10"/>
      <c r="D53" s="20">
        <f>(FEEDERS!$D$115*4)/10+FEEDERS!$D$16</f>
        <v>1795.1000000000001</v>
      </c>
      <c r="E53" s="10" t="s">
        <v>0</v>
      </c>
      <c r="F53" s="21">
        <f>+(D53*C53)/100</f>
        <v>0</v>
      </c>
      <c r="G53" s="22">
        <f>(FEEDERS!$G$115*4)/10+FEEDERS!$G$16</f>
        <v>21.299999999999997</v>
      </c>
      <c r="H53" s="10" t="s">
        <v>0</v>
      </c>
      <c r="I53" s="22">
        <f>+(G53*C53)/100</f>
        <v>0</v>
      </c>
      <c r="J53" s="18">
        <f t="shared" si="3"/>
        <v>0</v>
      </c>
      <c r="K53" s="18">
        <f>IF(J53=0,0,J53/C53)</f>
        <v>0</v>
      </c>
    </row>
    <row r="54" spans="1:11" ht="14" thickBot="1">
      <c r="A54" s="29" t="s">
        <v>429</v>
      </c>
      <c r="B54" s="36"/>
      <c r="C54" s="10"/>
      <c r="D54" s="176">
        <v>2300</v>
      </c>
      <c r="E54" s="10" t="s">
        <v>1</v>
      </c>
      <c r="F54" s="21">
        <f>+D54*C54</f>
        <v>0</v>
      </c>
      <c r="G54" s="22">
        <v>12</v>
      </c>
      <c r="H54" s="10" t="s">
        <v>1</v>
      </c>
      <c r="I54" s="22">
        <f>+G54*C54</f>
        <v>0</v>
      </c>
      <c r="J54" s="18">
        <f t="shared" si="3"/>
        <v>0</v>
      </c>
      <c r="K54" s="18">
        <f t="shared" si="4"/>
        <v>0</v>
      </c>
    </row>
    <row r="55" spans="1:11" ht="14" thickBot="1">
      <c r="A55" s="31"/>
      <c r="B55" s="36" t="s">
        <v>155</v>
      </c>
      <c r="C55" s="10"/>
      <c r="D55" s="20">
        <f>(FEEDERS!$D$94*4)/10+FEEDERS!$D$16</f>
        <v>3261.32</v>
      </c>
      <c r="E55" s="10" t="s">
        <v>0</v>
      </c>
      <c r="F55" s="21">
        <f>+(D55*C55)/100</f>
        <v>0</v>
      </c>
      <c r="G55" s="22">
        <f>(FEEDERS!$G$94*4)/10+FEEDERS!$G$16</f>
        <v>19.7</v>
      </c>
      <c r="H55" s="10" t="s">
        <v>0</v>
      </c>
      <c r="I55" s="22">
        <f>+(G55*C55)/100</f>
        <v>0</v>
      </c>
      <c r="J55" s="18">
        <f t="shared" si="3"/>
        <v>0</v>
      </c>
      <c r="K55" s="18">
        <f t="shared" si="4"/>
        <v>0</v>
      </c>
    </row>
    <row r="56" spans="1:11" ht="14" thickBot="1">
      <c r="A56" s="31"/>
      <c r="B56" s="36" t="s">
        <v>156</v>
      </c>
      <c r="C56" s="10"/>
      <c r="D56" s="20">
        <f>(FEEDERS!$D$114*4)/10+FEEDERS!$D$16</f>
        <v>1782.5</v>
      </c>
      <c r="E56" s="10" t="s">
        <v>0</v>
      </c>
      <c r="F56" s="21">
        <f>+(D56*C56)/100</f>
        <v>0</v>
      </c>
      <c r="G56" s="22">
        <f>(FEEDERS!$G$114*4)/10+FEEDERS!$G$16</f>
        <v>20.5</v>
      </c>
      <c r="H56" s="10" t="s">
        <v>0</v>
      </c>
      <c r="I56" s="22">
        <f>+(G56*C56)/100</f>
        <v>0</v>
      </c>
      <c r="J56" s="18">
        <f t="shared" si="3"/>
        <v>0</v>
      </c>
      <c r="K56" s="18">
        <f t="shared" si="4"/>
        <v>0</v>
      </c>
    </row>
    <row r="57" spans="1:11" ht="14" thickBot="1">
      <c r="A57" s="31" t="s">
        <v>73</v>
      </c>
      <c r="B57" s="36"/>
      <c r="C57" s="10"/>
      <c r="D57" s="176">
        <v>2300</v>
      </c>
      <c r="E57" s="10" t="s">
        <v>1</v>
      </c>
      <c r="F57" s="21">
        <f>+D57*C57</f>
        <v>0</v>
      </c>
      <c r="G57" s="22">
        <v>12</v>
      </c>
      <c r="H57" s="10" t="s">
        <v>1</v>
      </c>
      <c r="I57" s="22">
        <f>+G57*C57</f>
        <v>0</v>
      </c>
      <c r="J57" s="18">
        <f t="shared" si="3"/>
        <v>0</v>
      </c>
      <c r="K57" s="18">
        <f t="shared" ref="K57:K62" si="5">IF(J57=0,0,J57/C57)</f>
        <v>0</v>
      </c>
    </row>
    <row r="58" spans="1:11" ht="14" thickBot="1">
      <c r="A58" s="31"/>
      <c r="B58" s="36" t="s">
        <v>155</v>
      </c>
      <c r="C58" s="10"/>
      <c r="D58" s="20">
        <f>(FEEDERS!$D$93*4)/10+FEEDERS!$D$15</f>
        <v>2492.79</v>
      </c>
      <c r="E58" s="10" t="s">
        <v>0</v>
      </c>
      <c r="F58" s="21">
        <f>+(D58*C58)/100</f>
        <v>0</v>
      </c>
      <c r="G58" s="22">
        <f>(FEEDERS!$G$93*4)/10+FEEDERS!$G$15</f>
        <v>18.012999999999998</v>
      </c>
      <c r="H58" s="10" t="s">
        <v>0</v>
      </c>
      <c r="I58" s="22">
        <f>+(G58*C58)/100</f>
        <v>0</v>
      </c>
      <c r="J58" s="18">
        <f t="shared" si="3"/>
        <v>0</v>
      </c>
      <c r="K58" s="18">
        <f t="shared" si="5"/>
        <v>0</v>
      </c>
    </row>
    <row r="59" spans="1:11" ht="14" thickBot="1">
      <c r="A59" s="31"/>
      <c r="B59" s="36" t="s">
        <v>156</v>
      </c>
      <c r="C59" s="10"/>
      <c r="D59" s="20">
        <f>(FEEDERS!$D$113*4)/10+FEEDERS!$D$16</f>
        <v>1572.92</v>
      </c>
      <c r="E59" s="10" t="s">
        <v>0</v>
      </c>
      <c r="F59" s="21">
        <f>+(D59*C59)/100</f>
        <v>0</v>
      </c>
      <c r="G59" s="22">
        <f>(FEEDERS!$G$113*4)/10+FEEDERS!$G$16</f>
        <v>20.100000000000001</v>
      </c>
      <c r="H59" s="10" t="s">
        <v>0</v>
      </c>
      <c r="I59" s="22">
        <f>+(G59*C59)/100</f>
        <v>0</v>
      </c>
      <c r="J59" s="18">
        <f t="shared" si="3"/>
        <v>0</v>
      </c>
      <c r="K59" s="18">
        <f t="shared" si="5"/>
        <v>0</v>
      </c>
    </row>
    <row r="60" spans="1:11" ht="14" thickBot="1">
      <c r="A60" s="31" t="s">
        <v>72</v>
      </c>
      <c r="B60" s="36"/>
      <c r="C60" s="10"/>
      <c r="D60" s="176">
        <v>2000</v>
      </c>
      <c r="E60" s="10" t="s">
        <v>1</v>
      </c>
      <c r="F60" s="21">
        <f>+D60*C60</f>
        <v>0</v>
      </c>
      <c r="G60" s="22">
        <v>10</v>
      </c>
      <c r="H60" s="10" t="s">
        <v>1</v>
      </c>
      <c r="I60" s="22">
        <f>+G60*C60</f>
        <v>0</v>
      </c>
      <c r="J60" s="18">
        <f t="shared" si="3"/>
        <v>0</v>
      </c>
      <c r="K60" s="18">
        <f t="shared" si="5"/>
        <v>0</v>
      </c>
    </row>
    <row r="61" spans="1:11" ht="14" thickBot="1">
      <c r="A61" s="31"/>
      <c r="B61" s="36" t="s">
        <v>155</v>
      </c>
      <c r="C61" s="10"/>
      <c r="D61" s="20">
        <f>(FEEDERS!$D$88*4)/10+FEEDERS!$D$13</f>
        <v>1181.04</v>
      </c>
      <c r="E61" s="10" t="s">
        <v>0</v>
      </c>
      <c r="F61" s="21">
        <f>+(D61*C61)/100</f>
        <v>0</v>
      </c>
      <c r="G61" s="22">
        <f>(FEEDERS!$G$88*4)/10+FEEDERS!$G$13</f>
        <v>11.782</v>
      </c>
      <c r="H61" s="10" t="s">
        <v>0</v>
      </c>
      <c r="I61" s="22">
        <f>+(G61*C61)/100</f>
        <v>0</v>
      </c>
      <c r="J61" s="18">
        <f t="shared" si="3"/>
        <v>0</v>
      </c>
      <c r="K61" s="18">
        <f t="shared" si="5"/>
        <v>0</v>
      </c>
    </row>
    <row r="62" spans="1:11" ht="14" thickBot="1">
      <c r="A62" s="31"/>
      <c r="B62" s="36" t="s">
        <v>156</v>
      </c>
      <c r="C62" s="10"/>
      <c r="D62" s="20">
        <f>(FEEDERS!$D$108*4)/10+FEEDERS!$D$13</f>
        <v>753.90000000000009</v>
      </c>
      <c r="E62" s="10" t="s">
        <v>0</v>
      </c>
      <c r="F62" s="21">
        <f>+(D62*C62)/100</f>
        <v>0</v>
      </c>
      <c r="G62" s="22">
        <f>(FEEDERS!$G$108*4)/10+FEEDERS!$G$13</f>
        <v>12.981999999999999</v>
      </c>
      <c r="H62" s="10" t="s">
        <v>0</v>
      </c>
      <c r="I62" s="22">
        <f>+(G62*C62)/100</f>
        <v>0</v>
      </c>
      <c r="J62" s="18">
        <f t="shared" si="3"/>
        <v>0</v>
      </c>
      <c r="K62" s="18">
        <f t="shared" si="5"/>
        <v>0</v>
      </c>
    </row>
    <row r="63" spans="1:11" ht="14" thickBot="1">
      <c r="A63" s="29" t="s">
        <v>204</v>
      </c>
      <c r="B63" s="36"/>
      <c r="C63" s="10"/>
      <c r="D63" s="176">
        <v>3000</v>
      </c>
      <c r="E63" s="10" t="s">
        <v>1</v>
      </c>
      <c r="F63" s="21">
        <f>+D63*C63</f>
        <v>0</v>
      </c>
      <c r="G63" s="22">
        <v>14</v>
      </c>
      <c r="H63" s="10" t="s">
        <v>1</v>
      </c>
      <c r="I63" s="22">
        <f>+G63*C63</f>
        <v>0</v>
      </c>
      <c r="J63" s="18">
        <f t="shared" si="3"/>
        <v>0</v>
      </c>
      <c r="K63" s="18">
        <f t="shared" si="0"/>
        <v>0</v>
      </c>
    </row>
    <row r="64" spans="1:11" ht="14" thickBot="1">
      <c r="A64" s="31"/>
      <c r="B64" s="34" t="s">
        <v>177</v>
      </c>
      <c r="C64" s="10"/>
      <c r="D64" s="20">
        <f>(FEEDERS!$D$100*4)/10+FEEDERS!$D$19</f>
        <v>7934.2900000000009</v>
      </c>
      <c r="E64" s="10" t="s">
        <v>0</v>
      </c>
      <c r="F64" s="21">
        <f>+(D64*C64)/100</f>
        <v>0</v>
      </c>
      <c r="G64" s="22">
        <f>(FEEDERS!$G$100*4)/10+FEEDERS!$G$19</f>
        <v>33.575000000000003</v>
      </c>
      <c r="H64" s="10" t="s">
        <v>0</v>
      </c>
      <c r="I64" s="22">
        <f>+(G64*C64)/100</f>
        <v>0</v>
      </c>
      <c r="J64" s="18">
        <f t="shared" si="3"/>
        <v>0</v>
      </c>
      <c r="K64" s="18">
        <f t="shared" si="0"/>
        <v>0</v>
      </c>
    </row>
    <row r="65" spans="1:11" ht="14" thickBot="1">
      <c r="A65" s="31"/>
      <c r="B65" s="34" t="s">
        <v>176</v>
      </c>
      <c r="C65" s="10"/>
      <c r="D65" s="20">
        <f>(FEEDERS!$D$99*4)/10+FEEDERS!$D$19</f>
        <v>6673.869999999999</v>
      </c>
      <c r="E65" s="10" t="s">
        <v>0</v>
      </c>
      <c r="F65" s="21">
        <f>+(D65*C65)/100</f>
        <v>0</v>
      </c>
      <c r="G65" s="22">
        <f>(FEEDERS!$G$99*4)/10+FEEDERS!$G$19</f>
        <v>31.974999999999998</v>
      </c>
      <c r="H65" s="10" t="s">
        <v>0</v>
      </c>
      <c r="I65" s="22">
        <f>+(G65*C65)/100</f>
        <v>0</v>
      </c>
      <c r="J65" s="18">
        <f t="shared" si="3"/>
        <v>0</v>
      </c>
      <c r="K65" s="18">
        <f t="shared" si="0"/>
        <v>0</v>
      </c>
    </row>
    <row r="66" spans="1:11" ht="14" thickBot="1">
      <c r="A66" s="31"/>
      <c r="B66" s="34" t="s">
        <v>462</v>
      </c>
      <c r="C66" s="10"/>
      <c r="D66" s="20">
        <f>((FEEDERS!$D$113*4)/10+FEEDERS!$D$16)*2</f>
        <v>3145.84</v>
      </c>
      <c r="E66" s="10" t="s">
        <v>0</v>
      </c>
      <c r="F66" s="21">
        <f>+(D66*C66)/100</f>
        <v>0</v>
      </c>
      <c r="G66" s="22">
        <f>((FEEDERS!$G$113*4)/10+FEEDERS!$G$16)*2</f>
        <v>40.200000000000003</v>
      </c>
      <c r="H66" s="10" t="s">
        <v>0</v>
      </c>
      <c r="I66" s="22">
        <f>+(G66*C66)/100</f>
        <v>0</v>
      </c>
      <c r="J66" s="18">
        <f t="shared" si="3"/>
        <v>0</v>
      </c>
      <c r="K66" s="18">
        <f>IF(J66=0,0,J66/C66)</f>
        <v>0</v>
      </c>
    </row>
    <row r="67" spans="1:11" ht="14" thickBot="1">
      <c r="A67" s="31"/>
      <c r="B67" s="34" t="s">
        <v>461</v>
      </c>
      <c r="C67" s="10"/>
      <c r="D67" s="20">
        <f>(FEEDERS!$D$119*4)/10+FEEDERS!$D$19</f>
        <v>3091.8900000000003</v>
      </c>
      <c r="E67" s="10" t="s">
        <v>0</v>
      </c>
      <c r="F67" s="21">
        <f>+(D67*C67)/100</f>
        <v>0</v>
      </c>
      <c r="G67" s="22">
        <f>(FEEDERS!$G$119*4)/10+FEEDERS!$G$19</f>
        <v>31.574999999999999</v>
      </c>
      <c r="H67" s="10" t="s">
        <v>0</v>
      </c>
      <c r="I67" s="22">
        <f>+(G67*C67)/100</f>
        <v>0</v>
      </c>
      <c r="J67" s="18">
        <f t="shared" si="3"/>
        <v>0</v>
      </c>
      <c r="K67" s="18">
        <f>IF(J67=0,0,J67/C67)</f>
        <v>0</v>
      </c>
    </row>
    <row r="68" spans="1:11" ht="14" thickBot="1">
      <c r="A68" s="29" t="s">
        <v>203</v>
      </c>
      <c r="B68" s="36"/>
      <c r="C68" s="10"/>
      <c r="D68" s="176">
        <v>2300</v>
      </c>
      <c r="E68" s="10" t="s">
        <v>1</v>
      </c>
      <c r="F68" s="21">
        <f>+D68*C68</f>
        <v>0</v>
      </c>
      <c r="G68" s="22">
        <v>12</v>
      </c>
      <c r="H68" s="10" t="s">
        <v>1</v>
      </c>
      <c r="I68" s="22">
        <f>+G68*C68</f>
        <v>0</v>
      </c>
      <c r="J68" s="18">
        <f t="shared" si="3"/>
        <v>0</v>
      </c>
      <c r="K68" s="18">
        <f t="shared" si="0"/>
        <v>0</v>
      </c>
    </row>
    <row r="69" spans="1:11" ht="14" thickBot="1">
      <c r="A69" s="31"/>
      <c r="B69" s="36" t="s">
        <v>155</v>
      </c>
      <c r="C69" s="10"/>
      <c r="D69" s="20">
        <f>(FEEDERS!$D$93*4)/10+FEEDERS!$D$15</f>
        <v>2492.79</v>
      </c>
      <c r="E69" s="10" t="s">
        <v>0</v>
      </c>
      <c r="F69" s="21">
        <f>+(D69*C69)/100</f>
        <v>0</v>
      </c>
      <c r="G69" s="22">
        <f>(FEEDERS!$G$93*4)/10+FEEDERS!$G$15</f>
        <v>18.012999999999998</v>
      </c>
      <c r="H69" s="10" t="s">
        <v>0</v>
      </c>
      <c r="I69" s="22">
        <f>+(G69*C69)/100</f>
        <v>0</v>
      </c>
      <c r="J69" s="18">
        <f t="shared" si="3"/>
        <v>0</v>
      </c>
      <c r="K69" s="18">
        <f t="shared" si="0"/>
        <v>0</v>
      </c>
    </row>
    <row r="70" spans="1:11" ht="14" thickBot="1">
      <c r="A70" s="31"/>
      <c r="B70" s="36" t="s">
        <v>156</v>
      </c>
      <c r="C70" s="10"/>
      <c r="D70" s="20">
        <f>(FEEDERS!$D$113*4)/10+FEEDERS!$D$16</f>
        <v>1572.92</v>
      </c>
      <c r="E70" s="10" t="s">
        <v>0</v>
      </c>
      <c r="F70" s="21">
        <f>+(D70*C70)/100</f>
        <v>0</v>
      </c>
      <c r="G70" s="22">
        <f>(FEEDERS!$G$113*4)/10+FEEDERS!$G$16</f>
        <v>20.100000000000001</v>
      </c>
      <c r="H70" s="10" t="s">
        <v>0</v>
      </c>
      <c r="I70" s="22">
        <f>+(G70*C70)/100</f>
        <v>0</v>
      </c>
      <c r="J70" s="18">
        <f t="shared" si="3"/>
        <v>0</v>
      </c>
      <c r="K70" s="18">
        <f t="shared" si="0"/>
        <v>0</v>
      </c>
    </row>
    <row r="71" spans="1:11" ht="14" thickBot="1">
      <c r="A71" s="29" t="s">
        <v>179</v>
      </c>
      <c r="B71" s="36"/>
      <c r="C71" s="10"/>
      <c r="D71" s="176">
        <v>2000</v>
      </c>
      <c r="E71" s="10" t="s">
        <v>1</v>
      </c>
      <c r="F71" s="21">
        <f>+D71*C71</f>
        <v>0</v>
      </c>
      <c r="G71" s="22">
        <v>10</v>
      </c>
      <c r="H71" s="10" t="s">
        <v>1</v>
      </c>
      <c r="I71" s="22">
        <f>+G71*C71</f>
        <v>0</v>
      </c>
      <c r="J71" s="18">
        <f t="shared" si="3"/>
        <v>0</v>
      </c>
      <c r="K71" s="18">
        <f t="shared" si="0"/>
        <v>0</v>
      </c>
    </row>
    <row r="72" spans="1:11" ht="14" thickBot="1">
      <c r="A72" s="31"/>
      <c r="B72" s="36" t="s">
        <v>155</v>
      </c>
      <c r="C72" s="10"/>
      <c r="D72" s="20">
        <f>(FEEDERS!$D$91*4)/10+FEEDERS!$D$14</f>
        <v>1774.5</v>
      </c>
      <c r="E72" s="10" t="s">
        <v>0</v>
      </c>
      <c r="F72" s="21">
        <f>+(D72*C72)/100</f>
        <v>0</v>
      </c>
      <c r="G72" s="22">
        <f>(FEEDERS!$G$91*4)/10+FEEDERS!$G$14</f>
        <v>14.742000000000001</v>
      </c>
      <c r="H72" s="10" t="s">
        <v>0</v>
      </c>
      <c r="I72" s="22">
        <f>+(G72*C72)/100</f>
        <v>0</v>
      </c>
      <c r="J72" s="18">
        <f t="shared" si="3"/>
        <v>0</v>
      </c>
      <c r="K72" s="18">
        <f t="shared" si="0"/>
        <v>0</v>
      </c>
    </row>
    <row r="73" spans="1:11" ht="14" thickBot="1">
      <c r="A73" s="31"/>
      <c r="B73" s="36" t="s">
        <v>156</v>
      </c>
      <c r="C73" s="10"/>
      <c r="D73" s="20">
        <f>(FEEDERS!$D$111*4)/10+FEEDERS!$D$15</f>
        <v>1105.1099999999999</v>
      </c>
      <c r="E73" s="10" t="s">
        <v>0</v>
      </c>
      <c r="F73" s="21">
        <f>+(D73*C73)/100</f>
        <v>0</v>
      </c>
      <c r="G73" s="22">
        <f>(FEEDERS!$G$111*4)/10+FEEDERS!$G$15</f>
        <v>17.213000000000001</v>
      </c>
      <c r="H73" s="10" t="s">
        <v>0</v>
      </c>
      <c r="I73" s="22">
        <f>+(G73*C73)/100</f>
        <v>0</v>
      </c>
      <c r="J73" s="18">
        <f t="shared" si="3"/>
        <v>0</v>
      </c>
      <c r="K73" s="18">
        <f>IF(J73=0,0,J73/C73)</f>
        <v>0</v>
      </c>
    </row>
    <row r="74" spans="1:11" ht="14" thickBot="1">
      <c r="A74" s="29" t="s">
        <v>178</v>
      </c>
      <c r="B74" s="36"/>
      <c r="C74" s="10"/>
      <c r="D74" s="176">
        <v>2000</v>
      </c>
      <c r="E74" s="10" t="s">
        <v>1</v>
      </c>
      <c r="F74" s="21">
        <f>+D74*C74</f>
        <v>0</v>
      </c>
      <c r="G74" s="22">
        <v>10</v>
      </c>
      <c r="H74" s="10" t="s">
        <v>1</v>
      </c>
      <c r="I74" s="22">
        <f>+G74*C74</f>
        <v>0</v>
      </c>
      <c r="J74" s="18">
        <f t="shared" si="3"/>
        <v>0</v>
      </c>
      <c r="K74" s="18">
        <f>IF(J74=0,0,J74/C74)</f>
        <v>0</v>
      </c>
    </row>
    <row r="75" spans="1:11" ht="14" thickBot="1">
      <c r="A75" s="31"/>
      <c r="B75" s="36" t="s">
        <v>155</v>
      </c>
      <c r="C75" s="10"/>
      <c r="D75" s="20">
        <f>(FEEDERS!$D$90*4)/10+FEEDERS!$D$13</f>
        <v>1449.8400000000001</v>
      </c>
      <c r="E75" s="10" t="s">
        <v>0</v>
      </c>
      <c r="F75" s="21">
        <f>+(D75*C75)/100</f>
        <v>0</v>
      </c>
      <c r="G75" s="22">
        <f>(FEEDERS!$G$90*4)/10+FEEDERS!$G$13</f>
        <v>12.582000000000001</v>
      </c>
      <c r="H75" s="10" t="s">
        <v>0</v>
      </c>
      <c r="I75" s="22">
        <f>+(G75*C75)/100</f>
        <v>0</v>
      </c>
      <c r="J75" s="18">
        <f t="shared" si="3"/>
        <v>0</v>
      </c>
      <c r="K75" s="18">
        <f>IF(J75=0,0,J75/C75)</f>
        <v>0</v>
      </c>
    </row>
    <row r="76" spans="1:11" ht="14" thickBot="1">
      <c r="A76" s="31"/>
      <c r="B76" s="36" t="s">
        <v>156</v>
      </c>
      <c r="C76" s="10"/>
      <c r="D76" s="20">
        <f>(FEEDERS!$D$110*4)/10+FEEDERS!$D$14</f>
        <v>947.52</v>
      </c>
      <c r="E76" s="10" t="s">
        <v>0</v>
      </c>
      <c r="F76" s="21">
        <f>+(D76*C76)/100</f>
        <v>0</v>
      </c>
      <c r="G76" s="22">
        <f>(FEEDERS!$G$110*4)/10+FEEDERS!$G$14</f>
        <v>15.141999999999999</v>
      </c>
      <c r="H76" s="10" t="s">
        <v>0</v>
      </c>
      <c r="I76" s="22">
        <f>+(G76*C76)/100</f>
        <v>0</v>
      </c>
      <c r="J76" s="18">
        <f t="shared" si="3"/>
        <v>0</v>
      </c>
      <c r="K76" s="18">
        <f>IF(J76=0,0,J76/C76)</f>
        <v>0</v>
      </c>
    </row>
    <row r="77" spans="1:11" ht="14" thickBot="1">
      <c r="A77" s="31" t="s">
        <v>71</v>
      </c>
      <c r="B77" s="36"/>
      <c r="C77" s="10"/>
      <c r="D77" s="176">
        <v>2000</v>
      </c>
      <c r="E77" s="10" t="s">
        <v>1</v>
      </c>
      <c r="F77" s="21">
        <f>+D77*C77</f>
        <v>0</v>
      </c>
      <c r="G77" s="22">
        <v>10</v>
      </c>
      <c r="H77" s="10" t="s">
        <v>1</v>
      </c>
      <c r="I77" s="22">
        <f>+G77*C77</f>
        <v>0</v>
      </c>
      <c r="J77" s="18">
        <f t="shared" si="3"/>
        <v>0</v>
      </c>
      <c r="K77" s="18">
        <f t="shared" si="0"/>
        <v>0</v>
      </c>
    </row>
    <row r="78" spans="1:11" ht="14" thickBot="1">
      <c r="A78" s="31"/>
      <c r="B78" s="36" t="s">
        <v>155</v>
      </c>
      <c r="C78" s="10"/>
      <c r="D78" s="20">
        <f>(FEEDERS!$D$88*4)/10+FEEDERS!$D$13</f>
        <v>1181.04</v>
      </c>
      <c r="E78" s="10" t="s">
        <v>0</v>
      </c>
      <c r="F78" s="21">
        <f>+(D78*C78)/100</f>
        <v>0</v>
      </c>
      <c r="G78" s="22">
        <f>(FEEDERS!$G$88*4)/10+FEEDERS!$G$13</f>
        <v>11.782</v>
      </c>
      <c r="H78" s="10" t="s">
        <v>0</v>
      </c>
      <c r="I78" s="22">
        <f>+(G78*C78)/100</f>
        <v>0</v>
      </c>
      <c r="J78" s="18">
        <f t="shared" si="3"/>
        <v>0</v>
      </c>
      <c r="K78" s="18">
        <f t="shared" si="0"/>
        <v>0</v>
      </c>
    </row>
    <row r="79" spans="1:11" ht="14" thickBot="1">
      <c r="A79" s="31"/>
      <c r="B79" s="36" t="s">
        <v>156</v>
      </c>
      <c r="C79" s="10"/>
      <c r="D79" s="20">
        <f>(FEEDERS!$D$108*4)/10+FEEDERS!$D$13</f>
        <v>753.90000000000009</v>
      </c>
      <c r="E79" s="10" t="s">
        <v>0</v>
      </c>
      <c r="F79" s="21">
        <f>+(D79*C79)/100</f>
        <v>0</v>
      </c>
      <c r="G79" s="22">
        <f>(FEEDERS!$G$108*4)/10+FEEDERS!$G$13</f>
        <v>12.981999999999999</v>
      </c>
      <c r="H79" s="10" t="s">
        <v>0</v>
      </c>
      <c r="I79" s="22">
        <f>+(G79*C79)/100</f>
        <v>0</v>
      </c>
      <c r="J79" s="18">
        <f t="shared" si="3"/>
        <v>0</v>
      </c>
      <c r="K79" s="18">
        <f t="shared" si="0"/>
        <v>0</v>
      </c>
    </row>
    <row r="80" spans="1:11" ht="14" thickBot="1">
      <c r="A80" s="29" t="s">
        <v>505</v>
      </c>
      <c r="B80" s="36"/>
      <c r="C80" s="10"/>
      <c r="D80" s="20">
        <v>8000</v>
      </c>
      <c r="E80" s="10" t="s">
        <v>1</v>
      </c>
      <c r="F80" s="21">
        <f>+D80*C80</f>
        <v>0</v>
      </c>
      <c r="G80" s="22">
        <v>24</v>
      </c>
      <c r="H80" s="10" t="s">
        <v>1</v>
      </c>
      <c r="I80" s="22">
        <f>+G80*C80</f>
        <v>0</v>
      </c>
      <c r="J80" s="18">
        <f t="shared" ref="J80:J111" si="6">+(((I80*$I$323)+(F80*(1+$E$323)))*(1+$C$329))</f>
        <v>0</v>
      </c>
      <c r="K80" s="18">
        <f t="shared" si="0"/>
        <v>0</v>
      </c>
    </row>
    <row r="81" spans="1:11" ht="14" thickBot="1">
      <c r="A81" s="29" t="s">
        <v>501</v>
      </c>
      <c r="B81" s="36"/>
      <c r="C81" s="10"/>
      <c r="D81" s="176">
        <v>6500</v>
      </c>
      <c r="E81" s="10" t="s">
        <v>1</v>
      </c>
      <c r="F81" s="21">
        <f>+D81*C81</f>
        <v>0</v>
      </c>
      <c r="G81" s="22">
        <v>24</v>
      </c>
      <c r="H81" s="10" t="s">
        <v>1</v>
      </c>
      <c r="I81" s="22">
        <f>+G81*C81</f>
        <v>0</v>
      </c>
      <c r="J81" s="18">
        <f t="shared" si="6"/>
        <v>0</v>
      </c>
      <c r="K81" s="18">
        <f t="shared" ref="K81:K83" si="7">IF(J81=0,0,J81/C81)</f>
        <v>0</v>
      </c>
    </row>
    <row r="82" spans="1:11" ht="14" thickBot="1">
      <c r="A82" s="31"/>
      <c r="B82" s="34" t="s">
        <v>177</v>
      </c>
      <c r="C82" s="10"/>
      <c r="D82" s="20">
        <f>(FEEDERS!$D$100*4)/10+FEEDERS!$D$19</f>
        <v>7934.2900000000009</v>
      </c>
      <c r="E82" s="10" t="s">
        <v>0</v>
      </c>
      <c r="F82" s="21">
        <f>+(D82*C82)/100</f>
        <v>0</v>
      </c>
      <c r="G82" s="22">
        <f>(FEEDERS!$G$100*4)/10+FEEDERS!$G$19</f>
        <v>33.575000000000003</v>
      </c>
      <c r="H82" s="10" t="s">
        <v>0</v>
      </c>
      <c r="I82" s="22">
        <f>+(G82*C82)/100</f>
        <v>0</v>
      </c>
      <c r="J82" s="18">
        <f t="shared" si="6"/>
        <v>0</v>
      </c>
      <c r="K82" s="18">
        <f t="shared" si="7"/>
        <v>0</v>
      </c>
    </row>
    <row r="83" spans="1:11" ht="14" thickBot="1">
      <c r="A83" s="31"/>
      <c r="B83" s="34" t="s">
        <v>176</v>
      </c>
      <c r="C83" s="10"/>
      <c r="D83" s="20">
        <f>(FEEDERS!$D$99*4)/10+FEEDERS!$D$19</f>
        <v>6673.869999999999</v>
      </c>
      <c r="E83" s="10" t="s">
        <v>0</v>
      </c>
      <c r="F83" s="21">
        <f>+(D83*C83)/100</f>
        <v>0</v>
      </c>
      <c r="G83" s="22">
        <f>(FEEDERS!$G$99*4)/10+FEEDERS!$G$19</f>
        <v>31.974999999999998</v>
      </c>
      <c r="H83" s="10" t="s">
        <v>0</v>
      </c>
      <c r="I83" s="22">
        <f>+(G83*C83)/100</f>
        <v>0</v>
      </c>
      <c r="J83" s="18">
        <f t="shared" si="6"/>
        <v>0</v>
      </c>
      <c r="K83" s="18">
        <f t="shared" si="7"/>
        <v>0</v>
      </c>
    </row>
    <row r="84" spans="1:11" ht="14" thickBot="1">
      <c r="A84" s="31"/>
      <c r="B84" s="34" t="s">
        <v>462</v>
      </c>
      <c r="C84" s="10"/>
      <c r="D84" s="20">
        <f>((FEEDERS!$D$113*4)/10+FEEDERS!$D$16)*2</f>
        <v>3145.84</v>
      </c>
      <c r="E84" s="10" t="s">
        <v>0</v>
      </c>
      <c r="F84" s="21">
        <f>+(D84*C84)/100</f>
        <v>0</v>
      </c>
      <c r="G84" s="22">
        <f>((FEEDERS!$G$113*4)/10+FEEDERS!$G$16)*2</f>
        <v>40.200000000000003</v>
      </c>
      <c r="H84" s="10" t="s">
        <v>0</v>
      </c>
      <c r="I84" s="22">
        <f>+(G84*C84)/100</f>
        <v>0</v>
      </c>
      <c r="J84" s="18">
        <f t="shared" si="6"/>
        <v>0</v>
      </c>
      <c r="K84" s="18">
        <f>IF(J84=0,0,J84/C84)</f>
        <v>0</v>
      </c>
    </row>
    <row r="85" spans="1:11" ht="14" thickBot="1">
      <c r="A85" s="31"/>
      <c r="B85" s="34" t="s">
        <v>461</v>
      </c>
      <c r="C85" s="10"/>
      <c r="D85" s="20">
        <f>(FEEDERS!$D$119*4)/10+FEEDERS!$D$19</f>
        <v>3091.8900000000003</v>
      </c>
      <c r="E85" s="10" t="s">
        <v>0</v>
      </c>
      <c r="F85" s="21">
        <f>+(D85*C85)/100</f>
        <v>0</v>
      </c>
      <c r="G85" s="22">
        <f>(FEEDERS!$G$119*4)/10+FEEDERS!$G$19</f>
        <v>31.574999999999999</v>
      </c>
      <c r="H85" s="10" t="s">
        <v>0</v>
      </c>
      <c r="I85" s="22">
        <f>+(G85*C85)/100</f>
        <v>0</v>
      </c>
      <c r="J85" s="18">
        <f t="shared" si="6"/>
        <v>0</v>
      </c>
      <c r="K85" s="18">
        <f>IF(J85=0,0,J85/C85)</f>
        <v>0</v>
      </c>
    </row>
    <row r="86" spans="1:11" ht="14" thickBot="1">
      <c r="A86" s="29" t="s">
        <v>201</v>
      </c>
      <c r="B86" s="36"/>
      <c r="C86" s="10"/>
      <c r="D86" s="176">
        <v>5000</v>
      </c>
      <c r="E86" s="10" t="s">
        <v>1</v>
      </c>
      <c r="F86" s="21">
        <f>+D86*C86</f>
        <v>0</v>
      </c>
      <c r="G86" s="22">
        <v>15</v>
      </c>
      <c r="H86" s="10" t="s">
        <v>1</v>
      </c>
      <c r="I86" s="22">
        <f>+G86*C86</f>
        <v>0</v>
      </c>
      <c r="J86" s="18">
        <f t="shared" si="6"/>
        <v>0</v>
      </c>
      <c r="K86" s="18">
        <f t="shared" si="0"/>
        <v>0</v>
      </c>
    </row>
    <row r="87" spans="1:11" ht="14" thickBot="1">
      <c r="A87" s="31"/>
      <c r="B87" s="36" t="s">
        <v>155</v>
      </c>
      <c r="C87" s="10"/>
      <c r="D87" s="20">
        <f>(FEEDERS!$D$94*3)/10+FEEDERS!$D$16</f>
        <v>2702.09</v>
      </c>
      <c r="E87" s="10" t="s">
        <v>0</v>
      </c>
      <c r="F87" s="21">
        <f>+(D87*C87)/100</f>
        <v>0</v>
      </c>
      <c r="G87" s="22">
        <f>(FEEDERS!$G$94*3)/10+FEEDERS!$G$16</f>
        <v>17.8</v>
      </c>
      <c r="H87" s="10" t="s">
        <v>0</v>
      </c>
      <c r="I87" s="22">
        <f>+(G87*C87)/100</f>
        <v>0</v>
      </c>
      <c r="J87" s="18">
        <f t="shared" si="6"/>
        <v>0</v>
      </c>
      <c r="K87" s="18">
        <f t="shared" ref="K87:K102" si="8">IF(J87=0,0,J87/C87)</f>
        <v>0</v>
      </c>
    </row>
    <row r="88" spans="1:11" ht="14" thickBot="1">
      <c r="A88" s="31"/>
      <c r="B88" s="36" t="s">
        <v>156</v>
      </c>
      <c r="C88" s="10"/>
      <c r="D88" s="20">
        <f>(FEEDERS!$D$114*3)/10+FEEDERS!$D$16</f>
        <v>1592.9750000000001</v>
      </c>
      <c r="E88" s="10" t="s">
        <v>0</v>
      </c>
      <c r="F88" s="21">
        <f>+(D88*C88)/100</f>
        <v>0</v>
      </c>
      <c r="G88" s="22">
        <f>(FEEDERS!$G$114*3)/10+FEEDERS!$G$16</f>
        <v>18.399999999999999</v>
      </c>
      <c r="H88" s="10" t="s">
        <v>0</v>
      </c>
      <c r="I88" s="22">
        <f>+(G88*C88)/100</f>
        <v>0</v>
      </c>
      <c r="J88" s="18">
        <f t="shared" si="6"/>
        <v>0</v>
      </c>
      <c r="K88" s="18">
        <f t="shared" si="8"/>
        <v>0</v>
      </c>
    </row>
    <row r="89" spans="1:11" ht="14" thickBot="1">
      <c r="A89" s="29" t="s">
        <v>202</v>
      </c>
      <c r="B89" s="36"/>
      <c r="C89" s="10"/>
      <c r="D89" s="176">
        <v>4000</v>
      </c>
      <c r="E89" s="10" t="s">
        <v>1</v>
      </c>
      <c r="F89" s="21">
        <f>+D89*C89</f>
        <v>0</v>
      </c>
      <c r="G89" s="22">
        <v>13</v>
      </c>
      <c r="H89" s="10" t="s">
        <v>1</v>
      </c>
      <c r="I89" s="22">
        <f>+G89*C89</f>
        <v>0</v>
      </c>
      <c r="J89" s="18">
        <f t="shared" si="6"/>
        <v>0</v>
      </c>
      <c r="K89" s="18">
        <f>IF(J89=0,0,J89/C89)</f>
        <v>0</v>
      </c>
    </row>
    <row r="90" spans="1:11" ht="14" thickBot="1">
      <c r="A90" s="31"/>
      <c r="B90" s="36" t="s">
        <v>155</v>
      </c>
      <c r="C90" s="10"/>
      <c r="D90" s="20">
        <f>(FEEDERS!$D$91*3)/10+FEEDERS!$D$14</f>
        <v>1486.2750000000001</v>
      </c>
      <c r="E90" s="10" t="s">
        <v>0</v>
      </c>
      <c r="F90" s="21">
        <f>+(D90*C90)/100</f>
        <v>0</v>
      </c>
      <c r="G90" s="22">
        <f>(FEEDERS!$G$91*3)/10+FEEDERS!$G$14</f>
        <v>13.442</v>
      </c>
      <c r="H90" s="10" t="s">
        <v>0</v>
      </c>
      <c r="I90" s="22">
        <f>+(G90*C90)/100</f>
        <v>0</v>
      </c>
      <c r="J90" s="18">
        <f t="shared" si="6"/>
        <v>0</v>
      </c>
      <c r="K90" s="18">
        <f>IF(J90=0,0,J90/C90)</f>
        <v>0</v>
      </c>
    </row>
    <row r="91" spans="1:11" ht="14" thickBot="1">
      <c r="A91" s="31"/>
      <c r="B91" s="36" t="s">
        <v>156</v>
      </c>
      <c r="C91" s="10"/>
      <c r="D91" s="20">
        <f>(FEEDERS!$D$111*3)/10+FEEDERS!$D$15</f>
        <v>1003.9949999999999</v>
      </c>
      <c r="E91" s="10" t="s">
        <v>0</v>
      </c>
      <c r="F91" s="21">
        <f>+(D91*C91)/100</f>
        <v>0</v>
      </c>
      <c r="G91" s="22">
        <f>(FEEDERS!$G$111*3)/10+FEEDERS!$G$15</f>
        <v>15.712999999999999</v>
      </c>
      <c r="H91" s="10" t="s">
        <v>0</v>
      </c>
      <c r="I91" s="22">
        <f>+(G91*C91)/100</f>
        <v>0</v>
      </c>
      <c r="J91" s="18">
        <f t="shared" si="6"/>
        <v>0</v>
      </c>
      <c r="K91" s="18">
        <f>IF(J91=0,0,J91/C91)</f>
        <v>0</v>
      </c>
    </row>
    <row r="92" spans="1:11" ht="14" thickBot="1">
      <c r="A92" s="29" t="s">
        <v>200</v>
      </c>
      <c r="B92" s="36"/>
      <c r="C92" s="10"/>
      <c r="D92" s="176">
        <v>3500</v>
      </c>
      <c r="E92" s="10" t="s">
        <v>1</v>
      </c>
      <c r="F92" s="21">
        <f>+D92*C92</f>
        <v>0</v>
      </c>
      <c r="G92" s="22">
        <v>13</v>
      </c>
      <c r="H92" s="10" t="s">
        <v>1</v>
      </c>
      <c r="I92" s="22">
        <f>+G92*C92</f>
        <v>0</v>
      </c>
      <c r="J92" s="18">
        <f t="shared" si="6"/>
        <v>0</v>
      </c>
      <c r="K92" s="18">
        <f t="shared" si="8"/>
        <v>0</v>
      </c>
    </row>
    <row r="93" spans="1:11" ht="14" thickBot="1">
      <c r="A93" s="31"/>
      <c r="B93" s="36" t="s">
        <v>155</v>
      </c>
      <c r="C93" s="10"/>
      <c r="D93" s="20">
        <f>(FEEDERS!$D$90*3)/10+FEEDERS!$D$13</f>
        <v>1214.4299999999998</v>
      </c>
      <c r="E93" s="10" t="s">
        <v>0</v>
      </c>
      <c r="F93" s="21">
        <f>+(D93*C93)/100</f>
        <v>0</v>
      </c>
      <c r="G93" s="22">
        <f>(FEEDERS!$G$90*3)/10+FEEDERS!$G$13</f>
        <v>11.481999999999999</v>
      </c>
      <c r="H93" s="10" t="s">
        <v>0</v>
      </c>
      <c r="I93" s="22">
        <f>+(G93*C93)/100</f>
        <v>0</v>
      </c>
      <c r="J93" s="18">
        <f t="shared" si="6"/>
        <v>0</v>
      </c>
      <c r="K93" s="18">
        <f t="shared" si="8"/>
        <v>0</v>
      </c>
    </row>
    <row r="94" spans="1:11" ht="14" thickBot="1">
      <c r="A94" s="31"/>
      <c r="B94" s="36" t="s">
        <v>156</v>
      </c>
      <c r="C94" s="10"/>
      <c r="D94" s="20">
        <f>(FEEDERS!$D$110*3)/10+FEEDERS!$D$14</f>
        <v>866.04</v>
      </c>
      <c r="E94" s="10" t="s">
        <v>0</v>
      </c>
      <c r="F94" s="21">
        <f>+(D94*C94)/100</f>
        <v>0</v>
      </c>
      <c r="G94" s="22">
        <f>(FEEDERS!$G$110*3)/10+FEEDERS!$G$14</f>
        <v>13.742000000000001</v>
      </c>
      <c r="H94" s="10" t="s">
        <v>0</v>
      </c>
      <c r="I94" s="22">
        <f>+(G94*C94)/100</f>
        <v>0</v>
      </c>
      <c r="J94" s="18">
        <f t="shared" si="6"/>
        <v>0</v>
      </c>
      <c r="K94" s="18">
        <f t="shared" si="8"/>
        <v>0</v>
      </c>
    </row>
    <row r="95" spans="1:11" ht="14" thickBot="1">
      <c r="A95" s="31" t="s">
        <v>74</v>
      </c>
      <c r="B95" s="36"/>
      <c r="C95" s="10"/>
      <c r="D95" s="176">
        <v>2500</v>
      </c>
      <c r="E95" s="10" t="s">
        <v>1</v>
      </c>
      <c r="F95" s="21">
        <f>+D95*C95</f>
        <v>0</v>
      </c>
      <c r="G95" s="22">
        <v>12</v>
      </c>
      <c r="H95" s="10" t="s">
        <v>1</v>
      </c>
      <c r="I95" s="22">
        <f>+G95*C95</f>
        <v>0</v>
      </c>
      <c r="J95" s="18">
        <f t="shared" si="6"/>
        <v>0</v>
      </c>
      <c r="K95" s="18">
        <f t="shared" si="8"/>
        <v>0</v>
      </c>
    </row>
    <row r="96" spans="1:11" ht="14" thickBot="1">
      <c r="A96" s="31"/>
      <c r="B96" s="36" t="s">
        <v>155</v>
      </c>
      <c r="C96" s="10"/>
      <c r="D96" s="20">
        <f>(FEEDERS!$D$87*3)/10+FEEDERS!$D$12</f>
        <v>731.3</v>
      </c>
      <c r="E96" s="10" t="s">
        <v>0</v>
      </c>
      <c r="F96" s="21">
        <f>+(D96*C96)/100</f>
        <v>0</v>
      </c>
      <c r="G96" s="22">
        <f>(FEEDERS!$G$87*3)/10+FEEDERS!$G$12</f>
        <v>9.4879999999999995</v>
      </c>
      <c r="H96" s="10" t="s">
        <v>0</v>
      </c>
      <c r="I96" s="22">
        <f>+(G96*C96)/100</f>
        <v>0</v>
      </c>
      <c r="J96" s="18">
        <f t="shared" si="6"/>
        <v>0</v>
      </c>
      <c r="K96" s="18">
        <f t="shared" si="8"/>
        <v>0</v>
      </c>
    </row>
    <row r="97" spans="1:11" ht="14" thickBot="1">
      <c r="A97" s="31"/>
      <c r="B97" s="36" t="s">
        <v>156</v>
      </c>
      <c r="C97" s="10"/>
      <c r="D97" s="20">
        <v>250</v>
      </c>
      <c r="E97" s="10" t="s">
        <v>0</v>
      </c>
      <c r="F97" s="21">
        <f>+(D97*C97)/100</f>
        <v>0</v>
      </c>
      <c r="G97" s="22">
        <v>9</v>
      </c>
      <c r="H97" s="10" t="s">
        <v>0</v>
      </c>
      <c r="I97" s="22">
        <f>+(G97*C97)/100</f>
        <v>0</v>
      </c>
      <c r="J97" s="18">
        <f t="shared" si="6"/>
        <v>0</v>
      </c>
      <c r="K97" s="18">
        <f t="shared" si="8"/>
        <v>0</v>
      </c>
    </row>
    <row r="98" spans="1:11" ht="14" thickBot="1">
      <c r="A98" s="31" t="s">
        <v>75</v>
      </c>
      <c r="C98" s="10"/>
      <c r="D98" s="176">
        <v>2000</v>
      </c>
      <c r="E98" s="10" t="s">
        <v>1</v>
      </c>
      <c r="F98" s="21">
        <f>+D98*C98</f>
        <v>0</v>
      </c>
      <c r="G98" s="22">
        <v>10</v>
      </c>
      <c r="H98" s="10" t="s">
        <v>1</v>
      </c>
      <c r="I98" s="22">
        <f>+G98*C98</f>
        <v>0</v>
      </c>
      <c r="J98" s="18">
        <f t="shared" si="6"/>
        <v>0</v>
      </c>
      <c r="K98" s="18">
        <f t="shared" si="8"/>
        <v>0</v>
      </c>
    </row>
    <row r="99" spans="1:11" ht="14" thickBot="1">
      <c r="A99" s="31"/>
      <c r="B99" s="36" t="s">
        <v>155</v>
      </c>
      <c r="C99" s="10"/>
      <c r="D99" s="20">
        <f>(FEEDERS!$D$86*3)/10+FEEDERS!$D$11</f>
        <v>458.04999999999995</v>
      </c>
      <c r="E99" s="10" t="s">
        <v>0</v>
      </c>
      <c r="F99" s="21">
        <f>+(D99*C99)/100</f>
        <v>0</v>
      </c>
      <c r="G99" s="22">
        <f>(FEEDERS!$G$86*3)/10+FEEDERS!$G$11</f>
        <v>7.0600000000000005</v>
      </c>
      <c r="H99" s="10" t="s">
        <v>0</v>
      </c>
      <c r="I99" s="22">
        <f>+(G99*C99)/100</f>
        <v>0</v>
      </c>
      <c r="J99" s="18">
        <f t="shared" si="6"/>
        <v>0</v>
      </c>
      <c r="K99" s="18">
        <f t="shared" si="8"/>
        <v>0</v>
      </c>
    </row>
    <row r="100" spans="1:11" ht="14" thickBot="1">
      <c r="A100" s="31"/>
      <c r="B100" s="36" t="s">
        <v>156</v>
      </c>
      <c r="C100" s="10"/>
      <c r="D100" s="20">
        <v>150</v>
      </c>
      <c r="E100" s="10" t="s">
        <v>0</v>
      </c>
      <c r="F100" s="21">
        <f>+(D100*C100)/100</f>
        <v>0</v>
      </c>
      <c r="G100" s="22">
        <v>6</v>
      </c>
      <c r="H100" s="10" t="s">
        <v>0</v>
      </c>
      <c r="I100" s="22">
        <f>+(G100*C100)/100</f>
        <v>0</v>
      </c>
      <c r="J100" s="18">
        <f t="shared" si="6"/>
        <v>0</v>
      </c>
      <c r="K100" s="18">
        <f t="shared" si="8"/>
        <v>0</v>
      </c>
    </row>
    <row r="101" spans="1:11" ht="14" thickBot="1">
      <c r="A101" s="31" t="s">
        <v>90</v>
      </c>
      <c r="B101" s="36"/>
      <c r="C101" s="10"/>
      <c r="D101" s="176">
        <v>1500</v>
      </c>
      <c r="E101" s="10" t="s">
        <v>1</v>
      </c>
      <c r="F101" s="21">
        <f>+D101*C101</f>
        <v>0</v>
      </c>
      <c r="G101" s="22">
        <v>5</v>
      </c>
      <c r="H101" s="10" t="s">
        <v>1</v>
      </c>
      <c r="I101" s="22">
        <f>+G101*C101</f>
        <v>0</v>
      </c>
      <c r="J101" s="18">
        <f t="shared" si="6"/>
        <v>0</v>
      </c>
      <c r="K101" s="18">
        <f t="shared" si="8"/>
        <v>0</v>
      </c>
    </row>
    <row r="102" spans="1:11" ht="14" thickBot="1">
      <c r="A102" s="31"/>
      <c r="B102" s="36" t="s">
        <v>155</v>
      </c>
      <c r="C102" s="10"/>
      <c r="D102" s="20">
        <f>(FEEDERS!$D$84*3)/10+FEEDERS!$D$11</f>
        <v>283.51</v>
      </c>
      <c r="E102" s="10" t="s">
        <v>0</v>
      </c>
      <c r="F102" s="21">
        <f>+(D102*C102)/100</f>
        <v>0</v>
      </c>
      <c r="G102" s="22">
        <f>(FEEDERS!$G$84*3)/10+FEEDERS!$G$11</f>
        <v>6.76</v>
      </c>
      <c r="H102" s="10" t="s">
        <v>0</v>
      </c>
      <c r="I102" s="22">
        <f>+(G102*C102)/100</f>
        <v>0</v>
      </c>
      <c r="J102" s="18">
        <f t="shared" si="6"/>
        <v>0</v>
      </c>
      <c r="K102" s="18">
        <f t="shared" si="8"/>
        <v>0</v>
      </c>
    </row>
    <row r="103" spans="1:11" ht="14" thickBot="1">
      <c r="A103" s="29" t="s">
        <v>481</v>
      </c>
      <c r="B103" s="34"/>
      <c r="C103" s="10"/>
      <c r="D103" s="20">
        <v>100</v>
      </c>
      <c r="E103" s="10" t="s">
        <v>0</v>
      </c>
      <c r="F103" s="21">
        <f>+(D103*C103)/100</f>
        <v>0</v>
      </c>
      <c r="G103" s="22">
        <v>70</v>
      </c>
      <c r="H103" s="10" t="s">
        <v>0</v>
      </c>
      <c r="I103" s="22">
        <f>+(G103*C103)/100</f>
        <v>0</v>
      </c>
      <c r="J103" s="18">
        <f t="shared" si="6"/>
        <v>0</v>
      </c>
      <c r="K103" s="18">
        <f t="shared" ref="K103:K109" si="9">IF(J103=0,0,J103/C103)</f>
        <v>0</v>
      </c>
    </row>
    <row r="104" spans="1:11" ht="14" thickBot="1">
      <c r="A104" s="29" t="s">
        <v>483</v>
      </c>
      <c r="B104" s="34"/>
      <c r="C104" s="10"/>
      <c r="D104" s="20">
        <v>100</v>
      </c>
      <c r="E104" s="10" t="s">
        <v>1</v>
      </c>
      <c r="F104" s="21">
        <f>+D104*C104</f>
        <v>0</v>
      </c>
      <c r="G104" s="22">
        <v>1</v>
      </c>
      <c r="H104" s="10" t="s">
        <v>1</v>
      </c>
      <c r="I104" s="22">
        <f>+G104*C104</f>
        <v>0</v>
      </c>
      <c r="J104" s="18">
        <f t="shared" si="6"/>
        <v>0</v>
      </c>
      <c r="K104" s="18">
        <f t="shared" si="9"/>
        <v>0</v>
      </c>
    </row>
    <row r="105" spans="1:11" ht="14" thickBot="1">
      <c r="A105" s="29" t="s">
        <v>484</v>
      </c>
      <c r="B105" s="34"/>
      <c r="C105" s="10"/>
      <c r="D105" s="20">
        <v>50</v>
      </c>
      <c r="E105" s="10" t="s">
        <v>1</v>
      </c>
      <c r="F105" s="21">
        <f>+D105*C105</f>
        <v>0</v>
      </c>
      <c r="G105" s="22">
        <v>2.5</v>
      </c>
      <c r="H105" s="10" t="s">
        <v>1</v>
      </c>
      <c r="I105" s="22">
        <f>+G105*C105</f>
        <v>0</v>
      </c>
      <c r="J105" s="18">
        <f t="shared" si="6"/>
        <v>0</v>
      </c>
      <c r="K105" s="18">
        <f t="shared" si="9"/>
        <v>0</v>
      </c>
    </row>
    <row r="106" spans="1:11" ht="14" thickBot="1">
      <c r="A106" s="29" t="s">
        <v>482</v>
      </c>
      <c r="B106" s="34"/>
      <c r="C106" s="10"/>
      <c r="D106" s="20">
        <v>300</v>
      </c>
      <c r="E106" s="10" t="s">
        <v>1</v>
      </c>
      <c r="F106" s="21">
        <f>+D106*C106</f>
        <v>0</v>
      </c>
      <c r="G106" s="22">
        <v>24</v>
      </c>
      <c r="H106" s="10" t="s">
        <v>1</v>
      </c>
      <c r="I106" s="22">
        <f>+G106*C106</f>
        <v>0</v>
      </c>
      <c r="J106" s="18">
        <f t="shared" si="6"/>
        <v>0</v>
      </c>
      <c r="K106" s="18">
        <f>IF(J106=0,0,J106/C106)</f>
        <v>0</v>
      </c>
    </row>
    <row r="107" spans="1:11" ht="14" thickBot="1">
      <c r="A107" s="29"/>
      <c r="B107" s="36" t="s">
        <v>155</v>
      </c>
      <c r="C107" s="10"/>
      <c r="D107" s="20">
        <f>((FEEDERS!$D$99*4)/10+FEEDERS!$D$19)*8</f>
        <v>53390.959999999992</v>
      </c>
      <c r="E107" s="10" t="s">
        <v>0</v>
      </c>
      <c r="F107" s="21">
        <f>+(D107*C107)/100</f>
        <v>0</v>
      </c>
      <c r="G107" s="22">
        <f>((FEEDERS!$G$99*4)/10+FEEDERS!$G$19)*8</f>
        <v>255.79999999999998</v>
      </c>
      <c r="H107" s="10" t="s">
        <v>0</v>
      </c>
      <c r="I107" s="22">
        <f>+(G107*C107)/100</f>
        <v>0</v>
      </c>
      <c r="J107" s="18">
        <f t="shared" si="6"/>
        <v>0</v>
      </c>
      <c r="K107" s="18">
        <f>IF(J107=0,0,J107/C107)</f>
        <v>0</v>
      </c>
    </row>
    <row r="108" spans="1:11" ht="14" thickBot="1">
      <c r="A108" s="29"/>
      <c r="B108" s="36" t="s">
        <v>156</v>
      </c>
      <c r="C108" s="10"/>
      <c r="D108" s="20">
        <f>((FEEDERS!$D$119*4)/10+FEEDERS!$D$19)*8</f>
        <v>24735.120000000003</v>
      </c>
      <c r="E108" s="10" t="s">
        <v>0</v>
      </c>
      <c r="F108" s="21">
        <f>+(D108*C108)/100</f>
        <v>0</v>
      </c>
      <c r="G108" s="22">
        <f>((FEEDERS!$G$119*4)/10+FEEDERS!$G$19)*8</f>
        <v>252.6</v>
      </c>
      <c r="H108" s="10" t="s">
        <v>0</v>
      </c>
      <c r="I108" s="22">
        <f>+(G108*C108)/100</f>
        <v>0</v>
      </c>
      <c r="J108" s="18">
        <f t="shared" si="6"/>
        <v>0</v>
      </c>
      <c r="K108" s="18">
        <f>IF(J108=0,0,J108/C108)</f>
        <v>0</v>
      </c>
    </row>
    <row r="109" spans="1:11" ht="14" thickBot="1">
      <c r="A109" s="29" t="s">
        <v>485</v>
      </c>
      <c r="B109" s="34"/>
      <c r="C109" s="10"/>
      <c r="D109" s="20">
        <v>50</v>
      </c>
      <c r="E109" s="10" t="s">
        <v>1</v>
      </c>
      <c r="F109" s="21">
        <f>+D109*C109</f>
        <v>0</v>
      </c>
      <c r="G109" s="22">
        <v>2</v>
      </c>
      <c r="H109" s="10" t="s">
        <v>1</v>
      </c>
      <c r="I109" s="22">
        <f>+G109*C109</f>
        <v>0</v>
      </c>
      <c r="J109" s="18">
        <f t="shared" si="6"/>
        <v>0</v>
      </c>
      <c r="K109" s="18">
        <f t="shared" si="9"/>
        <v>0</v>
      </c>
    </row>
    <row r="110" spans="1:11" ht="14" thickBot="1">
      <c r="A110" s="29" t="s">
        <v>473</v>
      </c>
      <c r="B110" s="34"/>
      <c r="C110" s="10"/>
      <c r="D110" s="20">
        <v>100</v>
      </c>
      <c r="E110" s="10" t="s">
        <v>0</v>
      </c>
      <c r="F110" s="21">
        <f>+(D110*C110)/100</f>
        <v>0</v>
      </c>
      <c r="G110" s="22">
        <v>70</v>
      </c>
      <c r="H110" s="10" t="s">
        <v>0</v>
      </c>
      <c r="I110" s="22">
        <f>+(G110*C110)/100</f>
        <v>0</v>
      </c>
      <c r="J110" s="18">
        <f t="shared" si="6"/>
        <v>0</v>
      </c>
      <c r="K110" s="18">
        <f t="shared" ref="K110:K116" si="10">IF(J110=0,0,J110/C110)</f>
        <v>0</v>
      </c>
    </row>
    <row r="111" spans="1:11" ht="14" thickBot="1">
      <c r="A111" s="29" t="s">
        <v>474</v>
      </c>
      <c r="B111" s="34"/>
      <c r="C111" s="10"/>
      <c r="D111" s="20">
        <v>300</v>
      </c>
      <c r="E111" s="10" t="s">
        <v>1</v>
      </c>
      <c r="F111" s="21">
        <f>+D111*C111</f>
        <v>0</v>
      </c>
      <c r="G111" s="22">
        <v>24</v>
      </c>
      <c r="H111" s="10" t="s">
        <v>1</v>
      </c>
      <c r="I111" s="22">
        <f>+G111*C111</f>
        <v>0</v>
      </c>
      <c r="J111" s="18">
        <f t="shared" si="6"/>
        <v>0</v>
      </c>
      <c r="K111" s="18">
        <f t="shared" si="10"/>
        <v>0</v>
      </c>
    </row>
    <row r="112" spans="1:11" ht="14" thickBot="1">
      <c r="A112" s="29"/>
      <c r="B112" s="36" t="s">
        <v>155</v>
      </c>
      <c r="C112" s="10"/>
      <c r="D112" s="20">
        <f>((FEEDERS!$D$100*4)/10+FEEDERS!$D$19)*5</f>
        <v>39671.450000000004</v>
      </c>
      <c r="E112" s="10" t="s">
        <v>0</v>
      </c>
      <c r="F112" s="21">
        <f>+(D112*C112)/100</f>
        <v>0</v>
      </c>
      <c r="G112" s="22">
        <f>((FEEDERS!$G$100*4)/10+FEEDERS!$G$19)*5</f>
        <v>167.875</v>
      </c>
      <c r="H112" s="10" t="s">
        <v>0</v>
      </c>
      <c r="I112" s="22">
        <f>+(G112*C112)/100</f>
        <v>0</v>
      </c>
      <c r="J112" s="18">
        <f t="shared" ref="J112:J143" si="11">+(((I112*$I$323)+(F112*(1+$E$323)))*(1+$C$329))</f>
        <v>0</v>
      </c>
      <c r="K112" s="18">
        <f t="shared" si="10"/>
        <v>0</v>
      </c>
    </row>
    <row r="113" spans="1:11" ht="14" thickBot="1">
      <c r="A113" s="29"/>
      <c r="B113" s="36" t="s">
        <v>156</v>
      </c>
      <c r="C113" s="10"/>
      <c r="D113" s="20">
        <f>((FEEDERS!$D$118*4)/10+FEEDERS!$D$19)*6</f>
        <v>16876.86</v>
      </c>
      <c r="E113" s="10" t="s">
        <v>0</v>
      </c>
      <c r="F113" s="21">
        <f>+(D113*C113)/100</f>
        <v>0</v>
      </c>
      <c r="G113" s="22">
        <f>((FEEDERS!$G$118*4)/10+FEEDERS!$G$19)*6</f>
        <v>182.25</v>
      </c>
      <c r="H113" s="10" t="s">
        <v>0</v>
      </c>
      <c r="I113" s="22">
        <f>+(G113*C113)/100</f>
        <v>0</v>
      </c>
      <c r="J113" s="18">
        <f t="shared" si="11"/>
        <v>0</v>
      </c>
      <c r="K113" s="18">
        <f t="shared" si="10"/>
        <v>0</v>
      </c>
    </row>
    <row r="114" spans="1:11" ht="14" thickBot="1">
      <c r="A114" s="29" t="s">
        <v>475</v>
      </c>
      <c r="B114" s="34"/>
      <c r="C114" s="10"/>
      <c r="D114" s="20">
        <v>100</v>
      </c>
      <c r="E114" s="10" t="s">
        <v>1</v>
      </c>
      <c r="F114" s="21">
        <f>+D114*C114</f>
        <v>0</v>
      </c>
      <c r="G114" s="22">
        <v>1</v>
      </c>
      <c r="H114" s="10" t="s">
        <v>1</v>
      </c>
      <c r="I114" s="22">
        <f>+G114*C114</f>
        <v>0</v>
      </c>
      <c r="J114" s="18">
        <f t="shared" si="11"/>
        <v>0</v>
      </c>
      <c r="K114" s="18">
        <f t="shared" si="10"/>
        <v>0</v>
      </c>
    </row>
    <row r="115" spans="1:11" ht="14" thickBot="1">
      <c r="A115" s="29" t="s">
        <v>476</v>
      </c>
      <c r="B115" s="34"/>
      <c r="C115" s="10"/>
      <c r="D115" s="20">
        <v>50</v>
      </c>
      <c r="E115" s="10" t="s">
        <v>1</v>
      </c>
      <c r="F115" s="21">
        <f>+D115*C115</f>
        <v>0</v>
      </c>
      <c r="G115" s="22">
        <v>2.5</v>
      </c>
      <c r="H115" s="10" t="s">
        <v>1</v>
      </c>
      <c r="I115" s="22">
        <f>+G115*C115</f>
        <v>0</v>
      </c>
      <c r="J115" s="18">
        <f t="shared" si="11"/>
        <v>0</v>
      </c>
      <c r="K115" s="18">
        <f t="shared" si="10"/>
        <v>0</v>
      </c>
    </row>
    <row r="116" spans="1:11" ht="14" thickBot="1">
      <c r="A116" s="29" t="s">
        <v>477</v>
      </c>
      <c r="B116" s="34"/>
      <c r="C116" s="10"/>
      <c r="D116" s="20">
        <v>50</v>
      </c>
      <c r="E116" s="10" t="s">
        <v>1</v>
      </c>
      <c r="F116" s="21">
        <f>+D116*C116</f>
        <v>0</v>
      </c>
      <c r="G116" s="22">
        <v>2</v>
      </c>
      <c r="H116" s="10" t="s">
        <v>1</v>
      </c>
      <c r="I116" s="22">
        <f>+G116*C116</f>
        <v>0</v>
      </c>
      <c r="J116" s="18">
        <f t="shared" si="11"/>
        <v>0</v>
      </c>
      <c r="K116" s="18">
        <f t="shared" si="10"/>
        <v>0</v>
      </c>
    </row>
    <row r="117" spans="1:11" ht="14" thickBot="1">
      <c r="A117" s="29" t="s">
        <v>486</v>
      </c>
      <c r="B117" s="34"/>
      <c r="C117" s="10"/>
      <c r="D117" s="20">
        <v>100</v>
      </c>
      <c r="E117" s="10" t="s">
        <v>0</v>
      </c>
      <c r="F117" s="21">
        <f>+(D117*C117)/100</f>
        <v>0</v>
      </c>
      <c r="G117" s="22">
        <v>35</v>
      </c>
      <c r="H117" s="10" t="s">
        <v>0</v>
      </c>
      <c r="I117" s="22">
        <f>+(G117*C117)/100</f>
        <v>0</v>
      </c>
      <c r="J117" s="18">
        <f t="shared" si="11"/>
        <v>0</v>
      </c>
      <c r="K117" s="18">
        <f t="shared" ref="K117:K123" si="12">IF(J117=0,0,J117/C117)</f>
        <v>0</v>
      </c>
    </row>
    <row r="118" spans="1:11" ht="14" thickBot="1">
      <c r="A118" s="29" t="s">
        <v>487</v>
      </c>
      <c r="B118" s="34"/>
      <c r="C118" s="10"/>
      <c r="D118" s="20">
        <v>300</v>
      </c>
      <c r="E118" s="10" t="s">
        <v>1</v>
      </c>
      <c r="F118" s="21">
        <f>+D118*C118</f>
        <v>0</v>
      </c>
      <c r="G118" s="22">
        <v>16</v>
      </c>
      <c r="H118" s="10" t="s">
        <v>1</v>
      </c>
      <c r="I118" s="22">
        <f>+G118*C118</f>
        <v>0</v>
      </c>
      <c r="J118" s="18">
        <f t="shared" si="11"/>
        <v>0</v>
      </c>
      <c r="K118" s="18">
        <f t="shared" si="12"/>
        <v>0</v>
      </c>
    </row>
    <row r="119" spans="1:11" ht="14" thickBot="1">
      <c r="A119" s="29"/>
      <c r="B119" s="36" t="s">
        <v>155</v>
      </c>
      <c r="C119" s="10"/>
      <c r="D119" s="20">
        <f>((FEEDERS!$D$100*4)/10+FEEDERS!$D$19)*4</f>
        <v>31737.160000000003</v>
      </c>
      <c r="E119" s="10" t="s">
        <v>0</v>
      </c>
      <c r="F119" s="21">
        <f>+(D119*C119)/100</f>
        <v>0</v>
      </c>
      <c r="G119" s="22">
        <f>((FEEDERS!$G$100*4)/10+FEEDERS!$G$19)*4</f>
        <v>134.30000000000001</v>
      </c>
      <c r="H119" s="10" t="s">
        <v>0</v>
      </c>
      <c r="I119" s="22">
        <f>+(G119*C119)/100</f>
        <v>0</v>
      </c>
      <c r="J119" s="18">
        <f t="shared" si="11"/>
        <v>0</v>
      </c>
      <c r="K119" s="18">
        <f t="shared" si="12"/>
        <v>0</v>
      </c>
    </row>
    <row r="120" spans="1:11" ht="14" thickBot="1">
      <c r="A120" s="29"/>
      <c r="B120" s="36" t="s">
        <v>156</v>
      </c>
      <c r="C120" s="10"/>
      <c r="D120" s="20">
        <f>((FEEDERS!$D$118*4)/10+FEEDERS!$D$19)*5</f>
        <v>14064.050000000003</v>
      </c>
      <c r="E120" s="10" t="s">
        <v>0</v>
      </c>
      <c r="F120" s="21">
        <f>+(D120*C120)/100</f>
        <v>0</v>
      </c>
      <c r="G120" s="22">
        <f>((FEEDERS!$G$118*4)/10+FEEDERS!$G$19)*5</f>
        <v>151.875</v>
      </c>
      <c r="H120" s="10" t="s">
        <v>0</v>
      </c>
      <c r="I120" s="22">
        <f>+(G120*C120)/100</f>
        <v>0</v>
      </c>
      <c r="J120" s="18">
        <f t="shared" si="11"/>
        <v>0</v>
      </c>
      <c r="K120" s="18">
        <f t="shared" si="12"/>
        <v>0</v>
      </c>
    </row>
    <row r="121" spans="1:11" ht="14" thickBot="1">
      <c r="A121" s="29" t="s">
        <v>488</v>
      </c>
      <c r="B121" s="34"/>
      <c r="C121" s="10"/>
      <c r="D121" s="20">
        <v>100</v>
      </c>
      <c r="E121" s="10" t="s">
        <v>1</v>
      </c>
      <c r="F121" s="21">
        <f>+D121*C121</f>
        <v>0</v>
      </c>
      <c r="G121" s="22">
        <v>0.5</v>
      </c>
      <c r="H121" s="10" t="s">
        <v>1</v>
      </c>
      <c r="I121" s="22">
        <f>+G121*C121</f>
        <v>0</v>
      </c>
      <c r="J121" s="18">
        <f t="shared" si="11"/>
        <v>0</v>
      </c>
      <c r="K121" s="18">
        <f t="shared" si="12"/>
        <v>0</v>
      </c>
    </row>
    <row r="122" spans="1:11" ht="14" thickBot="1">
      <c r="A122" s="29" t="s">
        <v>489</v>
      </c>
      <c r="B122" s="34"/>
      <c r="C122" s="10"/>
      <c r="D122" s="20">
        <v>50</v>
      </c>
      <c r="E122" s="10" t="s">
        <v>1</v>
      </c>
      <c r="F122" s="21">
        <f>+D122*C122</f>
        <v>0</v>
      </c>
      <c r="G122" s="22">
        <v>1.5</v>
      </c>
      <c r="H122" s="10" t="s">
        <v>1</v>
      </c>
      <c r="I122" s="22">
        <f>+G122*C122</f>
        <v>0</v>
      </c>
      <c r="J122" s="18">
        <f t="shared" si="11"/>
        <v>0</v>
      </c>
      <c r="K122" s="18">
        <f t="shared" si="12"/>
        <v>0</v>
      </c>
    </row>
    <row r="123" spans="1:11" ht="14" thickBot="1">
      <c r="A123" s="29" t="s">
        <v>490</v>
      </c>
      <c r="B123" s="34"/>
      <c r="C123" s="10"/>
      <c r="D123" s="20">
        <v>50</v>
      </c>
      <c r="E123" s="10" t="s">
        <v>1</v>
      </c>
      <c r="F123" s="21">
        <f>+D123*C123</f>
        <v>0</v>
      </c>
      <c r="G123" s="22">
        <v>1</v>
      </c>
      <c r="H123" s="10" t="s">
        <v>1</v>
      </c>
      <c r="I123" s="22">
        <f>+G123*C123</f>
        <v>0</v>
      </c>
      <c r="J123" s="18">
        <f t="shared" si="11"/>
        <v>0</v>
      </c>
      <c r="K123" s="18">
        <f t="shared" si="12"/>
        <v>0</v>
      </c>
    </row>
    <row r="124" spans="1:11" ht="14" thickBot="1">
      <c r="A124" s="29" t="s">
        <v>491</v>
      </c>
      <c r="B124" s="34"/>
      <c r="C124" s="10"/>
      <c r="D124" s="20">
        <v>100</v>
      </c>
      <c r="E124" s="10" t="s">
        <v>0</v>
      </c>
      <c r="F124" s="21">
        <f>+(D124*C124)/100</f>
        <v>0</v>
      </c>
      <c r="G124" s="22">
        <v>35</v>
      </c>
      <c r="H124" s="10" t="s">
        <v>0</v>
      </c>
      <c r="I124" s="22">
        <f>+(G124*C124)/100</f>
        <v>0</v>
      </c>
      <c r="J124" s="18">
        <f t="shared" si="11"/>
        <v>0</v>
      </c>
      <c r="K124" s="18">
        <f t="shared" ref="K124:K135" si="13">IF(J124=0,0,J124/C124)</f>
        <v>0</v>
      </c>
    </row>
    <row r="125" spans="1:11" ht="14" thickBot="1">
      <c r="A125" s="29" t="s">
        <v>492</v>
      </c>
      <c r="B125" s="34"/>
      <c r="C125" s="10"/>
      <c r="D125" s="20">
        <v>300</v>
      </c>
      <c r="E125" s="10" t="s">
        <v>1</v>
      </c>
      <c r="F125" s="21">
        <f>+D125*C125</f>
        <v>0</v>
      </c>
      <c r="G125" s="22">
        <v>16</v>
      </c>
      <c r="H125" s="10" t="s">
        <v>1</v>
      </c>
      <c r="I125" s="22">
        <f>+G125*C125</f>
        <v>0</v>
      </c>
      <c r="J125" s="18">
        <f t="shared" si="11"/>
        <v>0</v>
      </c>
      <c r="K125" s="18">
        <f t="shared" si="13"/>
        <v>0</v>
      </c>
    </row>
    <row r="126" spans="1:11" ht="14" thickBot="1">
      <c r="A126" s="29"/>
      <c r="B126" s="34" t="s">
        <v>177</v>
      </c>
      <c r="C126" s="10"/>
      <c r="D126" s="20">
        <f>((FEEDERS!$D$100*4)/10+FEEDERS!$D$19)*2</f>
        <v>15868.580000000002</v>
      </c>
      <c r="E126" s="10" t="s">
        <v>0</v>
      </c>
      <c r="F126" s="21">
        <f>+(D126*C126)/100</f>
        <v>0</v>
      </c>
      <c r="G126" s="22">
        <f>((FEEDERS!$G$100*4)/10+FEEDERS!$G$19)*2</f>
        <v>67.150000000000006</v>
      </c>
      <c r="H126" s="10" t="s">
        <v>0</v>
      </c>
      <c r="I126" s="22">
        <f>+(G126*C126)/100</f>
        <v>0</v>
      </c>
      <c r="J126" s="18">
        <f t="shared" si="11"/>
        <v>0</v>
      </c>
      <c r="K126" s="18">
        <f t="shared" si="13"/>
        <v>0</v>
      </c>
    </row>
    <row r="127" spans="1:11" ht="14" thickBot="1">
      <c r="A127" s="29"/>
      <c r="B127" s="34" t="s">
        <v>176</v>
      </c>
      <c r="C127" s="10"/>
      <c r="D127" s="20">
        <f>((FEEDERS!$D$99*4)/10+FEEDERS!$D$19)*2</f>
        <v>13347.739999999998</v>
      </c>
      <c r="E127" s="10" t="s">
        <v>0</v>
      </c>
      <c r="F127" s="21">
        <f>+(D127*C127)/100</f>
        <v>0</v>
      </c>
      <c r="G127" s="22">
        <f>((FEEDERS!$G$99*4)/10+FEEDERS!$G$19)*2</f>
        <v>63.949999999999996</v>
      </c>
      <c r="H127" s="10" t="s">
        <v>0</v>
      </c>
      <c r="I127" s="22">
        <f>+(G127*C127)/100</f>
        <v>0</v>
      </c>
      <c r="J127" s="18">
        <f t="shared" si="11"/>
        <v>0</v>
      </c>
      <c r="K127" s="18">
        <f t="shared" si="13"/>
        <v>0</v>
      </c>
    </row>
    <row r="128" spans="1:11" ht="14" thickBot="1">
      <c r="A128" s="29"/>
      <c r="B128" s="36" t="s">
        <v>156</v>
      </c>
      <c r="C128" s="10"/>
      <c r="D128" s="20">
        <f>((FEEDERS!$D$116*4)/10+FEEDERS!$D$16)*3</f>
        <v>5775.9000000000005</v>
      </c>
      <c r="E128" s="10" t="s">
        <v>0</v>
      </c>
      <c r="F128" s="21">
        <f>+(D128*C128)/100</f>
        <v>0</v>
      </c>
      <c r="G128" s="22">
        <f>((FEEDERS!$G$116*4)/10+FEEDERS!$G$16)*3</f>
        <v>66.300000000000011</v>
      </c>
      <c r="H128" s="10" t="s">
        <v>0</v>
      </c>
      <c r="I128" s="22">
        <f>+(G128*C128)/100</f>
        <v>0</v>
      </c>
      <c r="J128" s="18">
        <f t="shared" si="11"/>
        <v>0</v>
      </c>
      <c r="K128" s="18">
        <f t="shared" si="13"/>
        <v>0</v>
      </c>
    </row>
    <row r="129" spans="1:11" ht="14" thickBot="1">
      <c r="A129" s="29" t="s">
        <v>493</v>
      </c>
      <c r="B129" s="34"/>
      <c r="C129" s="10"/>
      <c r="D129" s="20">
        <v>100</v>
      </c>
      <c r="E129" s="10" t="s">
        <v>1</v>
      </c>
      <c r="F129" s="21">
        <f t="shared" ref="F129:F136" si="14">+D129*C129</f>
        <v>0</v>
      </c>
      <c r="G129" s="22">
        <v>0.5</v>
      </c>
      <c r="H129" s="10" t="s">
        <v>1</v>
      </c>
      <c r="I129" s="22">
        <f t="shared" ref="I129:I136" si="15">+G129*C129</f>
        <v>0</v>
      </c>
      <c r="J129" s="18">
        <f t="shared" si="11"/>
        <v>0</v>
      </c>
      <c r="K129" s="18">
        <f t="shared" si="13"/>
        <v>0</v>
      </c>
    </row>
    <row r="130" spans="1:11" ht="14" thickBot="1">
      <c r="A130" s="29" t="s">
        <v>494</v>
      </c>
      <c r="B130" s="34"/>
      <c r="C130" s="10"/>
      <c r="D130" s="20">
        <v>50</v>
      </c>
      <c r="E130" s="10" t="s">
        <v>1</v>
      </c>
      <c r="F130" s="21">
        <f t="shared" si="14"/>
        <v>0</v>
      </c>
      <c r="G130" s="22">
        <v>1</v>
      </c>
      <c r="H130" s="10" t="s">
        <v>1</v>
      </c>
      <c r="I130" s="22">
        <f t="shared" si="15"/>
        <v>0</v>
      </c>
      <c r="J130" s="18">
        <f t="shared" si="11"/>
        <v>0</v>
      </c>
      <c r="K130" s="18">
        <f t="shared" si="13"/>
        <v>0</v>
      </c>
    </row>
    <row r="131" spans="1:11" ht="14" thickBot="1">
      <c r="A131" s="29" t="s">
        <v>495</v>
      </c>
      <c r="B131" s="34"/>
      <c r="C131" s="10"/>
      <c r="D131" s="20">
        <v>50</v>
      </c>
      <c r="E131" s="10" t="s">
        <v>1</v>
      </c>
      <c r="F131" s="21">
        <f t="shared" si="14"/>
        <v>0</v>
      </c>
      <c r="G131" s="22">
        <v>1</v>
      </c>
      <c r="H131" s="10" t="s">
        <v>1</v>
      </c>
      <c r="I131" s="22">
        <f t="shared" si="15"/>
        <v>0</v>
      </c>
      <c r="J131" s="18">
        <f t="shared" si="11"/>
        <v>0</v>
      </c>
      <c r="K131" s="18">
        <f t="shared" si="13"/>
        <v>0</v>
      </c>
    </row>
    <row r="132" spans="1:11" ht="14" thickBot="1">
      <c r="A132" s="29" t="s">
        <v>498</v>
      </c>
      <c r="B132" s="34"/>
      <c r="C132" s="10"/>
      <c r="D132" s="20">
        <v>100</v>
      </c>
      <c r="E132" s="10" t="s">
        <v>1</v>
      </c>
      <c r="F132" s="21">
        <f t="shared" si="14"/>
        <v>0</v>
      </c>
      <c r="G132" s="22">
        <v>12</v>
      </c>
      <c r="H132" s="10" t="s">
        <v>1</v>
      </c>
      <c r="I132" s="22">
        <f t="shared" si="15"/>
        <v>0</v>
      </c>
      <c r="J132" s="18">
        <f t="shared" si="11"/>
        <v>0</v>
      </c>
      <c r="K132" s="18">
        <f t="shared" si="13"/>
        <v>0</v>
      </c>
    </row>
    <row r="133" spans="1:11" ht="14" thickBot="1">
      <c r="A133" s="29" t="s">
        <v>496</v>
      </c>
      <c r="B133" s="34"/>
      <c r="C133" s="10"/>
      <c r="D133" s="20">
        <v>100</v>
      </c>
      <c r="E133" s="10" t="s">
        <v>1</v>
      </c>
      <c r="F133" s="21">
        <f t="shared" si="14"/>
        <v>0</v>
      </c>
      <c r="G133" s="22">
        <v>8</v>
      </c>
      <c r="H133" s="10" t="s">
        <v>1</v>
      </c>
      <c r="I133" s="22">
        <f t="shared" si="15"/>
        <v>0</v>
      </c>
      <c r="J133" s="18">
        <f t="shared" si="11"/>
        <v>0</v>
      </c>
      <c r="K133" s="18">
        <f t="shared" si="13"/>
        <v>0</v>
      </c>
    </row>
    <row r="134" spans="1:11" ht="14" thickBot="1">
      <c r="A134" s="29" t="s">
        <v>478</v>
      </c>
      <c r="B134" s="34"/>
      <c r="C134" s="10"/>
      <c r="D134" s="20">
        <v>100</v>
      </c>
      <c r="E134" s="10" t="s">
        <v>1</v>
      </c>
      <c r="F134" s="21">
        <f t="shared" si="14"/>
        <v>0</v>
      </c>
      <c r="G134" s="22">
        <v>6</v>
      </c>
      <c r="H134" s="10" t="s">
        <v>1</v>
      </c>
      <c r="I134" s="22">
        <f t="shared" si="15"/>
        <v>0</v>
      </c>
      <c r="J134" s="18">
        <f t="shared" si="11"/>
        <v>0</v>
      </c>
      <c r="K134" s="18">
        <f t="shared" si="13"/>
        <v>0</v>
      </c>
    </row>
    <row r="135" spans="1:11" ht="14" thickBot="1">
      <c r="A135" s="29" t="s">
        <v>497</v>
      </c>
      <c r="B135" s="34"/>
      <c r="C135" s="10"/>
      <c r="D135" s="20">
        <v>100</v>
      </c>
      <c r="E135" s="10" t="s">
        <v>1</v>
      </c>
      <c r="F135" s="21">
        <f t="shared" si="14"/>
        <v>0</v>
      </c>
      <c r="G135" s="22">
        <v>4</v>
      </c>
      <c r="H135" s="10" t="s">
        <v>1</v>
      </c>
      <c r="I135" s="22">
        <f t="shared" si="15"/>
        <v>0</v>
      </c>
      <c r="J135" s="18">
        <f t="shared" si="11"/>
        <v>0</v>
      </c>
      <c r="K135" s="18">
        <f t="shared" si="13"/>
        <v>0</v>
      </c>
    </row>
    <row r="136" spans="1:11" ht="14" thickBot="1">
      <c r="A136" s="29" t="s">
        <v>479</v>
      </c>
      <c r="B136" s="34"/>
      <c r="C136" s="10"/>
      <c r="D136" s="20">
        <v>100</v>
      </c>
      <c r="E136" s="10" t="s">
        <v>1</v>
      </c>
      <c r="F136" s="21">
        <f t="shared" si="14"/>
        <v>0</v>
      </c>
      <c r="G136" s="22">
        <v>8</v>
      </c>
      <c r="H136" s="10" t="s">
        <v>1</v>
      </c>
      <c r="I136" s="22">
        <f t="shared" si="15"/>
        <v>0</v>
      </c>
      <c r="J136" s="18">
        <f t="shared" si="11"/>
        <v>0</v>
      </c>
      <c r="K136" s="18">
        <f t="shared" ref="K136:K149" si="16">IF(J136=0,0,J136/C136)</f>
        <v>0</v>
      </c>
    </row>
    <row r="137" spans="1:11" ht="14" thickBot="1">
      <c r="A137" s="29"/>
      <c r="B137" s="36" t="s">
        <v>155</v>
      </c>
      <c r="C137" s="10"/>
      <c r="D137" s="20">
        <f>((FEEDERS!$D$97*4)/10+FEEDERS!$D$17)*2</f>
        <v>9779.4399999999987</v>
      </c>
      <c r="E137" s="10" t="s">
        <v>0</v>
      </c>
      <c r="F137" s="21">
        <f>+(D137*C137)/100</f>
        <v>0</v>
      </c>
      <c r="G137" s="22">
        <f>((FEEDERS!$G$97*4)/10+FEEDERS!$G$17)*2</f>
        <v>48.6</v>
      </c>
      <c r="H137" s="10" t="s">
        <v>0</v>
      </c>
      <c r="I137" s="22">
        <f>+(G137*C137)/100</f>
        <v>0</v>
      </c>
      <c r="J137" s="18">
        <f t="shared" si="11"/>
        <v>0</v>
      </c>
      <c r="K137" s="18">
        <f t="shared" si="16"/>
        <v>0</v>
      </c>
    </row>
    <row r="138" spans="1:11" ht="14" thickBot="1">
      <c r="A138" s="29"/>
      <c r="B138" s="36" t="s">
        <v>156</v>
      </c>
      <c r="C138" s="10"/>
      <c r="D138" s="20">
        <f>((FEEDERS!$D$117*4)/10+FEEDERS!$D$17)*2</f>
        <v>4487.4400000000005</v>
      </c>
      <c r="E138" s="10" t="s">
        <v>0</v>
      </c>
      <c r="F138" s="21">
        <f>+(D138*C138)/100</f>
        <v>0</v>
      </c>
      <c r="G138" s="22">
        <f>((FEEDERS!$G$117*4)/10+FEEDERS!$G$17)*2</f>
        <v>47.8</v>
      </c>
      <c r="H138" s="10" t="s">
        <v>0</v>
      </c>
      <c r="I138" s="22">
        <f>+(G138*C138)/100</f>
        <v>0</v>
      </c>
      <c r="J138" s="18">
        <f t="shared" si="11"/>
        <v>0</v>
      </c>
      <c r="K138" s="18">
        <f t="shared" si="16"/>
        <v>0</v>
      </c>
    </row>
    <row r="139" spans="1:11" ht="14" thickBot="1">
      <c r="A139" s="29" t="s">
        <v>499</v>
      </c>
      <c r="B139" s="34"/>
      <c r="C139" s="10"/>
      <c r="D139" s="20">
        <v>100</v>
      </c>
      <c r="E139" s="10" t="s">
        <v>1</v>
      </c>
      <c r="F139" s="21">
        <f>+D139*C139</f>
        <v>0</v>
      </c>
      <c r="G139" s="22">
        <v>8</v>
      </c>
      <c r="H139" s="10" t="s">
        <v>1</v>
      </c>
      <c r="I139" s="22">
        <f>+G139*C139</f>
        <v>0</v>
      </c>
      <c r="J139" s="18">
        <f t="shared" si="11"/>
        <v>0</v>
      </c>
      <c r="K139" s="18">
        <f t="shared" si="16"/>
        <v>0</v>
      </c>
    </row>
    <row r="140" spans="1:11" ht="14" thickBot="1">
      <c r="A140" s="31"/>
      <c r="B140" s="34" t="s">
        <v>177</v>
      </c>
      <c r="C140" s="10"/>
      <c r="D140" s="20">
        <f>(FEEDERS!$D$100*4)/10+FEEDERS!$D$19</f>
        <v>7934.2900000000009</v>
      </c>
      <c r="E140" s="10" t="s">
        <v>0</v>
      </c>
      <c r="F140" s="21">
        <f>+(D140*C140)/100</f>
        <v>0</v>
      </c>
      <c r="G140" s="22">
        <f>(FEEDERS!$G$100*4)/10+FEEDERS!$G$19</f>
        <v>33.575000000000003</v>
      </c>
      <c r="H140" s="10" t="s">
        <v>0</v>
      </c>
      <c r="I140" s="22">
        <f>+(G140*C140)/100</f>
        <v>0</v>
      </c>
      <c r="J140" s="18">
        <f t="shared" si="11"/>
        <v>0</v>
      </c>
      <c r="K140" s="18">
        <f t="shared" si="16"/>
        <v>0</v>
      </c>
    </row>
    <row r="141" spans="1:11" ht="14" thickBot="1">
      <c r="A141" s="31"/>
      <c r="B141" s="34" t="s">
        <v>176</v>
      </c>
      <c r="C141" s="10"/>
      <c r="D141" s="20">
        <f>(FEEDERS!$D$99*4)/10+FEEDERS!$D$19</f>
        <v>6673.869999999999</v>
      </c>
      <c r="E141" s="10" t="s">
        <v>0</v>
      </c>
      <c r="F141" s="21">
        <f>+(D141*C141)/100</f>
        <v>0</v>
      </c>
      <c r="G141" s="22">
        <f>(FEEDERS!$G$99*4)/10+FEEDERS!$G$19</f>
        <v>31.974999999999998</v>
      </c>
      <c r="H141" s="10" t="s">
        <v>0</v>
      </c>
      <c r="I141" s="22">
        <f>+(G141*C141)/100</f>
        <v>0</v>
      </c>
      <c r="J141" s="18">
        <f t="shared" si="11"/>
        <v>0</v>
      </c>
      <c r="K141" s="18">
        <f t="shared" si="16"/>
        <v>0</v>
      </c>
    </row>
    <row r="142" spans="1:11" ht="14" thickBot="1">
      <c r="A142" s="31"/>
      <c r="B142" s="34" t="s">
        <v>462</v>
      </c>
      <c r="C142" s="10"/>
      <c r="D142" s="20">
        <f>((FEEDERS!$D$113*4)/10+FEEDERS!$D$16)*2</f>
        <v>3145.84</v>
      </c>
      <c r="E142" s="10" t="s">
        <v>0</v>
      </c>
      <c r="F142" s="21">
        <f>+(D142*C142)/100</f>
        <v>0</v>
      </c>
      <c r="G142" s="22">
        <f>((FEEDERS!$G$113*4)/10+FEEDERS!$G$16)*2</f>
        <v>40.200000000000003</v>
      </c>
      <c r="H142" s="10" t="s">
        <v>0</v>
      </c>
      <c r="I142" s="22">
        <f>+(G142*C142)/100</f>
        <v>0</v>
      </c>
      <c r="J142" s="18">
        <f t="shared" si="11"/>
        <v>0</v>
      </c>
      <c r="K142" s="18">
        <f t="shared" si="16"/>
        <v>0</v>
      </c>
    </row>
    <row r="143" spans="1:11" ht="14" thickBot="1">
      <c r="A143" s="31"/>
      <c r="B143" s="34" t="s">
        <v>461</v>
      </c>
      <c r="C143" s="10"/>
      <c r="D143" s="20">
        <f>(FEEDERS!$D$119*4)/10+FEEDERS!$D$19</f>
        <v>3091.8900000000003</v>
      </c>
      <c r="E143" s="10" t="s">
        <v>0</v>
      </c>
      <c r="F143" s="21">
        <f>+(D143*C143)/100</f>
        <v>0</v>
      </c>
      <c r="G143" s="22">
        <f>(FEEDERS!$G$119*4)/10+FEEDERS!$G$19</f>
        <v>31.574999999999999</v>
      </c>
      <c r="H143" s="10" t="s">
        <v>0</v>
      </c>
      <c r="I143" s="22">
        <f>+(G143*C143)/100</f>
        <v>0</v>
      </c>
      <c r="J143" s="18">
        <f t="shared" si="11"/>
        <v>0</v>
      </c>
      <c r="K143" s="18">
        <f t="shared" si="16"/>
        <v>0</v>
      </c>
    </row>
    <row r="144" spans="1:11" ht="14" thickBot="1">
      <c r="A144" s="29" t="s">
        <v>500</v>
      </c>
      <c r="B144" s="34"/>
      <c r="C144" s="10"/>
      <c r="D144" s="20">
        <v>50</v>
      </c>
      <c r="E144" s="10" t="s">
        <v>1</v>
      </c>
      <c r="F144" s="21">
        <f t="shared" ref="F144:F149" si="17">+D144*C144</f>
        <v>0</v>
      </c>
      <c r="G144" s="22">
        <v>2.5</v>
      </c>
      <c r="H144" s="10" t="s">
        <v>1</v>
      </c>
      <c r="I144" s="22">
        <f t="shared" ref="I144:I149" si="18">+G144*C144</f>
        <v>0</v>
      </c>
      <c r="J144" s="18">
        <f t="shared" ref="J144:J157" si="19">+(((I144*$I$323)+(F144*(1+$E$323)))*(1+$C$329))</f>
        <v>0</v>
      </c>
      <c r="K144" s="18">
        <f t="shared" si="16"/>
        <v>0</v>
      </c>
    </row>
    <row r="145" spans="1:11" ht="14" thickBot="1">
      <c r="A145" s="29" t="s">
        <v>480</v>
      </c>
      <c r="B145" s="34"/>
      <c r="C145" s="10"/>
      <c r="D145" s="20">
        <v>50</v>
      </c>
      <c r="E145" s="10" t="s">
        <v>1</v>
      </c>
      <c r="F145" s="21">
        <f t="shared" si="17"/>
        <v>0</v>
      </c>
      <c r="G145" s="22">
        <v>2</v>
      </c>
      <c r="H145" s="10" t="s">
        <v>1</v>
      </c>
      <c r="I145" s="22">
        <f t="shared" si="18"/>
        <v>0</v>
      </c>
      <c r="J145" s="18">
        <f t="shared" si="19"/>
        <v>0</v>
      </c>
      <c r="K145" s="18">
        <f t="shared" si="16"/>
        <v>0</v>
      </c>
    </row>
    <row r="146" spans="1:11" ht="14" thickBot="1">
      <c r="A146" s="31" t="s">
        <v>105</v>
      </c>
      <c r="B146" s="36"/>
      <c r="C146" s="10"/>
      <c r="D146" s="20">
        <v>100</v>
      </c>
      <c r="E146" s="10" t="s">
        <v>1</v>
      </c>
      <c r="F146" s="21">
        <f t="shared" si="17"/>
        <v>0</v>
      </c>
      <c r="G146" s="22">
        <v>16</v>
      </c>
      <c r="H146" s="10" t="s">
        <v>1</v>
      </c>
      <c r="I146" s="22">
        <f t="shared" si="18"/>
        <v>0</v>
      </c>
      <c r="J146" s="18">
        <f t="shared" si="19"/>
        <v>0</v>
      </c>
      <c r="K146" s="18">
        <f t="shared" si="16"/>
        <v>0</v>
      </c>
    </row>
    <row r="147" spans="1:11" ht="14" thickBot="1">
      <c r="A147" s="29" t="s">
        <v>174</v>
      </c>
      <c r="B147" s="36"/>
      <c r="C147" s="10"/>
      <c r="D147" s="20">
        <v>1150</v>
      </c>
      <c r="E147" s="10" t="s">
        <v>1</v>
      </c>
      <c r="F147" s="21">
        <f t="shared" si="17"/>
        <v>0</v>
      </c>
      <c r="G147" s="22">
        <v>5</v>
      </c>
      <c r="H147" s="10" t="s">
        <v>1</v>
      </c>
      <c r="I147" s="22">
        <f t="shared" si="18"/>
        <v>0</v>
      </c>
      <c r="J147" s="18">
        <f t="shared" si="19"/>
        <v>0</v>
      </c>
      <c r="K147" s="18">
        <f t="shared" si="16"/>
        <v>0</v>
      </c>
    </row>
    <row r="148" spans="1:11" ht="14" thickBot="1">
      <c r="A148" s="29" t="s">
        <v>175</v>
      </c>
      <c r="B148" s="36"/>
      <c r="C148" s="10"/>
      <c r="D148" s="20">
        <v>1750</v>
      </c>
      <c r="E148" s="10" t="s">
        <v>1</v>
      </c>
      <c r="F148" s="21">
        <f t="shared" si="17"/>
        <v>0</v>
      </c>
      <c r="G148" s="22">
        <v>6</v>
      </c>
      <c r="H148" s="10" t="s">
        <v>1</v>
      </c>
      <c r="I148" s="22">
        <f t="shared" si="18"/>
        <v>0</v>
      </c>
      <c r="J148" s="18">
        <f t="shared" si="19"/>
        <v>0</v>
      </c>
      <c r="K148" s="18">
        <f t="shared" si="16"/>
        <v>0</v>
      </c>
    </row>
    <row r="149" spans="1:11" ht="14" thickBot="1">
      <c r="A149" s="31" t="s">
        <v>170</v>
      </c>
      <c r="B149" s="36"/>
      <c r="C149" s="10"/>
      <c r="D149" s="20">
        <v>500</v>
      </c>
      <c r="E149" s="10" t="s">
        <v>1</v>
      </c>
      <c r="F149" s="21">
        <f t="shared" si="17"/>
        <v>0</v>
      </c>
      <c r="G149" s="22">
        <v>2</v>
      </c>
      <c r="H149" s="10" t="s">
        <v>1</v>
      </c>
      <c r="I149" s="22">
        <f t="shared" si="18"/>
        <v>0</v>
      </c>
      <c r="J149" s="18">
        <f t="shared" si="19"/>
        <v>0</v>
      </c>
      <c r="K149" s="18">
        <f t="shared" si="16"/>
        <v>0</v>
      </c>
    </row>
    <row r="150" spans="1:11" ht="14" thickBot="1">
      <c r="A150" s="62" t="s">
        <v>157</v>
      </c>
      <c r="B150" s="38"/>
      <c r="C150" s="10"/>
      <c r="D150" s="20">
        <f>FEEDERS!$D$11</f>
        <v>184.15</v>
      </c>
      <c r="E150" s="10" t="s">
        <v>0</v>
      </c>
      <c r="F150" s="21">
        <f t="shared" ref="F150:F157" si="20">+(D150*C150)/100</f>
        <v>0</v>
      </c>
      <c r="G150" s="22">
        <f>FEEDERS!$G$11</f>
        <v>4.96</v>
      </c>
      <c r="H150" s="10" t="s">
        <v>0</v>
      </c>
      <c r="I150" s="22">
        <f t="shared" ref="I150:I157" si="21">+(G150*C150)/100</f>
        <v>0</v>
      </c>
      <c r="J150" s="18">
        <f t="shared" si="19"/>
        <v>0</v>
      </c>
      <c r="K150" s="18">
        <f t="shared" ref="K150:K209" si="22">IF(J150=0,0,J150/C150)</f>
        <v>0</v>
      </c>
    </row>
    <row r="151" spans="1:11" ht="14" thickBot="1">
      <c r="A151" s="62" t="s">
        <v>158</v>
      </c>
      <c r="B151" s="38"/>
      <c r="C151" s="10"/>
      <c r="D151" s="20">
        <f>FEEDERS!$D$12</f>
        <v>312.2</v>
      </c>
      <c r="E151" s="10" t="s">
        <v>0</v>
      </c>
      <c r="F151" s="21">
        <f t="shared" si="20"/>
        <v>0</v>
      </c>
      <c r="G151" s="22">
        <f>FEEDERS!$G$12</f>
        <v>6.9379999999999997</v>
      </c>
      <c r="H151" s="10" t="s">
        <v>0</v>
      </c>
      <c r="I151" s="22">
        <f t="shared" si="21"/>
        <v>0</v>
      </c>
      <c r="J151" s="18">
        <f t="shared" si="19"/>
        <v>0</v>
      </c>
      <c r="K151" s="18">
        <f t="shared" si="22"/>
        <v>0</v>
      </c>
    </row>
    <row r="152" spans="1:11" ht="14" thickBot="1">
      <c r="A152" s="75" t="s">
        <v>517</v>
      </c>
      <c r="B152" s="38"/>
      <c r="C152" s="10"/>
      <c r="D152" s="20">
        <f>FEEDERS!$D$13</f>
        <v>508.20000000000005</v>
      </c>
      <c r="E152" s="10" t="s">
        <v>0</v>
      </c>
      <c r="F152" s="21">
        <f t="shared" ref="F152" si="23">+(D152*C152)/100</f>
        <v>0</v>
      </c>
      <c r="G152" s="22">
        <f>FEEDERS!$G$13</f>
        <v>8.1820000000000004</v>
      </c>
      <c r="H152" s="10" t="s">
        <v>0</v>
      </c>
      <c r="I152" s="22">
        <f t="shared" ref="I152" si="24">+(G152*C152)/100</f>
        <v>0</v>
      </c>
      <c r="J152" s="18">
        <f t="shared" si="19"/>
        <v>0</v>
      </c>
      <c r="K152" s="18">
        <f t="shared" ref="K152" si="25">IF(J152=0,0,J152/C152)</f>
        <v>0</v>
      </c>
    </row>
    <row r="153" spans="1:11" ht="14" thickBot="1">
      <c r="A153" s="75" t="s">
        <v>211</v>
      </c>
      <c r="B153" s="38"/>
      <c r="C153" s="10"/>
      <c r="D153" s="20">
        <f>FEEDERS!$D$14</f>
        <v>621.6</v>
      </c>
      <c r="E153" s="10" t="s">
        <v>0</v>
      </c>
      <c r="F153" s="21">
        <f t="shared" si="20"/>
        <v>0</v>
      </c>
      <c r="G153" s="22">
        <f>FEEDERS!$G$14</f>
        <v>9.5419999999999998</v>
      </c>
      <c r="H153" s="10" t="s">
        <v>0</v>
      </c>
      <c r="I153" s="22">
        <f t="shared" si="21"/>
        <v>0</v>
      </c>
      <c r="J153" s="18">
        <f t="shared" si="19"/>
        <v>0</v>
      </c>
      <c r="K153" s="18">
        <f t="shared" si="22"/>
        <v>0</v>
      </c>
    </row>
    <row r="154" spans="1:11" ht="14" thickBot="1">
      <c r="A154" s="75" t="s">
        <v>212</v>
      </c>
      <c r="B154" s="38"/>
      <c r="C154" s="10"/>
      <c r="D154" s="20">
        <f>FEEDERS!$D$15</f>
        <v>700.65</v>
      </c>
      <c r="E154" s="10" t="s">
        <v>0</v>
      </c>
      <c r="F154" s="21">
        <f t="shared" si="20"/>
        <v>0</v>
      </c>
      <c r="G154" s="22">
        <f>FEEDERS!$G$15</f>
        <v>11.212999999999999</v>
      </c>
      <c r="H154" s="10" t="s">
        <v>0</v>
      </c>
      <c r="I154" s="22">
        <f t="shared" si="21"/>
        <v>0</v>
      </c>
      <c r="J154" s="18">
        <f t="shared" si="19"/>
        <v>0</v>
      </c>
      <c r="K154" s="18">
        <f t="shared" si="22"/>
        <v>0</v>
      </c>
    </row>
    <row r="155" spans="1:11" ht="14" thickBot="1">
      <c r="A155" s="62" t="s">
        <v>159</v>
      </c>
      <c r="B155" s="38"/>
      <c r="C155" s="10"/>
      <c r="D155" s="20">
        <f>FEEDERS!$D$16</f>
        <v>1024.4000000000001</v>
      </c>
      <c r="E155" s="10" t="s">
        <v>0</v>
      </c>
      <c r="F155" s="21">
        <f t="shared" si="20"/>
        <v>0</v>
      </c>
      <c r="G155" s="22">
        <f>FEEDERS!$G$16</f>
        <v>12.1</v>
      </c>
      <c r="H155" s="10" t="s">
        <v>0</v>
      </c>
      <c r="I155" s="22">
        <f t="shared" si="21"/>
        <v>0</v>
      </c>
      <c r="J155" s="18">
        <f t="shared" si="19"/>
        <v>0</v>
      </c>
      <c r="K155" s="18">
        <f t="shared" si="22"/>
        <v>0</v>
      </c>
    </row>
    <row r="156" spans="1:11" ht="14" thickBot="1">
      <c r="A156" s="62" t="s">
        <v>160</v>
      </c>
      <c r="B156" s="38"/>
      <c r="C156" s="10"/>
      <c r="D156" s="20">
        <f>FEEDERS!$D$17</f>
        <v>1250</v>
      </c>
      <c r="E156" s="10" t="s">
        <v>0</v>
      </c>
      <c r="F156" s="21">
        <f>+(D156*C156)/100</f>
        <v>0</v>
      </c>
      <c r="G156" s="22">
        <f>FEEDERS!$G$17</f>
        <v>13.5</v>
      </c>
      <c r="H156" s="10" t="s">
        <v>0</v>
      </c>
      <c r="I156" s="22">
        <f>+(G156*C156)/100</f>
        <v>0</v>
      </c>
      <c r="J156" s="18">
        <f t="shared" si="19"/>
        <v>0</v>
      </c>
      <c r="K156" s="18">
        <f>IF(J156=0,0,J156/C156)</f>
        <v>0</v>
      </c>
    </row>
    <row r="157" spans="1:11" ht="14" thickBot="1">
      <c r="A157" s="62" t="s">
        <v>161</v>
      </c>
      <c r="B157" s="38"/>
      <c r="C157" s="10"/>
      <c r="D157" s="20">
        <f>FEEDERS!$D$19</f>
        <v>1553.65</v>
      </c>
      <c r="E157" s="10" t="s">
        <v>0</v>
      </c>
      <c r="F157" s="21">
        <f t="shared" si="20"/>
        <v>0</v>
      </c>
      <c r="G157" s="22">
        <f>FEEDERS!$G$19</f>
        <v>18.774999999999999</v>
      </c>
      <c r="H157" s="10" t="s">
        <v>0</v>
      </c>
      <c r="I157" s="22">
        <f t="shared" si="21"/>
        <v>0</v>
      </c>
      <c r="J157" s="18">
        <f t="shared" si="19"/>
        <v>0</v>
      </c>
      <c r="K157" s="18">
        <f t="shared" si="22"/>
        <v>0</v>
      </c>
    </row>
    <row r="158" spans="1:11" ht="14" thickBot="1">
      <c r="A158" s="31"/>
      <c r="B158" s="36"/>
      <c r="C158" s="10"/>
      <c r="D158" s="20"/>
      <c r="E158" s="10"/>
      <c r="F158" s="21"/>
      <c r="G158" s="22"/>
      <c r="H158" s="10"/>
      <c r="I158" s="22"/>
      <c r="J158" s="18"/>
      <c r="K158" s="18"/>
    </row>
    <row r="159" spans="1:11" ht="14" thickBot="1">
      <c r="A159" s="30" t="s">
        <v>56</v>
      </c>
      <c r="B159" s="38">
        <f>SUM(J160:J190)</f>
        <v>0</v>
      </c>
      <c r="C159" s="10"/>
      <c r="D159" s="20"/>
      <c r="E159" s="10"/>
      <c r="F159" s="21"/>
      <c r="G159" s="22"/>
      <c r="H159" s="10"/>
      <c r="I159" s="22"/>
      <c r="J159" s="18"/>
      <c r="K159" s="18"/>
    </row>
    <row r="160" spans="1:11" ht="14" thickBot="1">
      <c r="A160" s="31" t="s">
        <v>132</v>
      </c>
      <c r="B160" s="38"/>
      <c r="C160" s="10"/>
      <c r="D160" s="20">
        <v>2000</v>
      </c>
      <c r="E160" s="10" t="s">
        <v>1</v>
      </c>
      <c r="F160" s="21">
        <f t="shared" ref="F160:F178" si="26">+D160*C160</f>
        <v>0</v>
      </c>
      <c r="G160" s="22">
        <v>15</v>
      </c>
      <c r="H160" s="10" t="s">
        <v>1</v>
      </c>
      <c r="I160" s="22">
        <f t="shared" ref="I160:I178" si="27">+G160*C160</f>
        <v>0</v>
      </c>
      <c r="J160" s="18">
        <f t="shared" ref="J160:J189" si="28">+(((I160*$I$323)+(F160*(1+$E$323)))*(1+$C$329))</f>
        <v>0</v>
      </c>
      <c r="K160" s="18">
        <f t="shared" si="22"/>
        <v>0</v>
      </c>
    </row>
    <row r="161" spans="1:11" ht="14" thickBot="1">
      <c r="A161" s="31" t="s">
        <v>133</v>
      </c>
      <c r="B161" s="38"/>
      <c r="C161" s="10"/>
      <c r="D161" s="20">
        <v>1200</v>
      </c>
      <c r="E161" s="10" t="s">
        <v>1</v>
      </c>
      <c r="F161" s="21">
        <f t="shared" si="26"/>
        <v>0</v>
      </c>
      <c r="G161" s="22">
        <v>20</v>
      </c>
      <c r="H161" s="10" t="s">
        <v>1</v>
      </c>
      <c r="I161" s="22">
        <f t="shared" si="27"/>
        <v>0</v>
      </c>
      <c r="J161" s="18">
        <f t="shared" si="28"/>
        <v>0</v>
      </c>
      <c r="K161" s="18">
        <f t="shared" si="22"/>
        <v>0</v>
      </c>
    </row>
    <row r="162" spans="1:11" ht="14" thickBot="1">
      <c r="A162" s="31" t="s">
        <v>57</v>
      </c>
      <c r="B162" s="38"/>
      <c r="C162" s="10"/>
      <c r="D162" s="20">
        <v>200</v>
      </c>
      <c r="E162" s="10" t="s">
        <v>1</v>
      </c>
      <c r="F162" s="21">
        <f t="shared" si="26"/>
        <v>0</v>
      </c>
      <c r="G162" s="22">
        <v>2.75</v>
      </c>
      <c r="H162" s="10" t="s">
        <v>1</v>
      </c>
      <c r="I162" s="22">
        <f t="shared" si="27"/>
        <v>0</v>
      </c>
      <c r="J162" s="18">
        <f t="shared" si="28"/>
        <v>0</v>
      </c>
      <c r="K162" s="18">
        <f t="shared" si="22"/>
        <v>0</v>
      </c>
    </row>
    <row r="163" spans="1:11" ht="14" thickBot="1">
      <c r="A163" s="62" t="s">
        <v>165</v>
      </c>
      <c r="B163" s="38"/>
      <c r="C163" s="10"/>
      <c r="D163" s="20">
        <v>8000</v>
      </c>
      <c r="E163" s="10" t="s">
        <v>1</v>
      </c>
      <c r="F163" s="21">
        <f t="shared" si="26"/>
        <v>0</v>
      </c>
      <c r="G163" s="22">
        <v>45</v>
      </c>
      <c r="H163" s="10" t="s">
        <v>1</v>
      </c>
      <c r="I163" s="22">
        <f t="shared" si="27"/>
        <v>0</v>
      </c>
      <c r="J163" s="18">
        <f t="shared" si="28"/>
        <v>0</v>
      </c>
      <c r="K163" s="18">
        <f t="shared" si="22"/>
        <v>0</v>
      </c>
    </row>
    <row r="164" spans="1:11" ht="14" thickBot="1">
      <c r="A164" s="62" t="s">
        <v>64</v>
      </c>
      <c r="B164" s="38"/>
      <c r="C164" s="10"/>
      <c r="D164" s="20">
        <v>600</v>
      </c>
      <c r="E164" s="10" t="s">
        <v>1</v>
      </c>
      <c r="F164" s="21">
        <f t="shared" si="26"/>
        <v>0</v>
      </c>
      <c r="G164" s="22">
        <v>4</v>
      </c>
      <c r="H164" s="10" t="s">
        <v>1</v>
      </c>
      <c r="I164" s="22">
        <f t="shared" si="27"/>
        <v>0</v>
      </c>
      <c r="J164" s="18">
        <f t="shared" si="28"/>
        <v>0</v>
      </c>
      <c r="K164" s="18">
        <f t="shared" si="22"/>
        <v>0</v>
      </c>
    </row>
    <row r="165" spans="1:11" ht="14" thickBot="1">
      <c r="A165" s="62" t="s">
        <v>63</v>
      </c>
      <c r="B165" s="38"/>
      <c r="C165" s="10"/>
      <c r="D165" s="20">
        <v>1500</v>
      </c>
      <c r="E165" s="10" t="s">
        <v>1</v>
      </c>
      <c r="F165" s="21">
        <f t="shared" si="26"/>
        <v>0</v>
      </c>
      <c r="G165" s="22">
        <v>15</v>
      </c>
      <c r="H165" s="10" t="s">
        <v>1</v>
      </c>
      <c r="I165" s="22">
        <f t="shared" si="27"/>
        <v>0</v>
      </c>
      <c r="J165" s="18">
        <f t="shared" si="28"/>
        <v>0</v>
      </c>
      <c r="K165" s="18">
        <f t="shared" si="22"/>
        <v>0</v>
      </c>
    </row>
    <row r="166" spans="1:11" ht="14" thickBot="1">
      <c r="A166" s="75" t="s">
        <v>145</v>
      </c>
      <c r="B166" s="38"/>
      <c r="C166" s="10"/>
      <c r="D166" s="20">
        <v>160</v>
      </c>
      <c r="E166" s="10" t="s">
        <v>1</v>
      </c>
      <c r="F166" s="21">
        <f t="shared" si="26"/>
        <v>0</v>
      </c>
      <c r="G166" s="22">
        <v>11</v>
      </c>
      <c r="H166" s="10" t="s">
        <v>1</v>
      </c>
      <c r="I166" s="22">
        <f t="shared" si="27"/>
        <v>0</v>
      </c>
      <c r="J166" s="18">
        <f t="shared" si="28"/>
        <v>0</v>
      </c>
      <c r="K166" s="18">
        <f t="shared" si="22"/>
        <v>0</v>
      </c>
    </row>
    <row r="167" spans="1:11" ht="14" thickBot="1">
      <c r="A167" s="62" t="s">
        <v>134</v>
      </c>
      <c r="B167" s="38"/>
      <c r="C167" s="10"/>
      <c r="D167" s="20">
        <v>150</v>
      </c>
      <c r="E167" s="10" t="s">
        <v>1</v>
      </c>
      <c r="F167" s="21">
        <f t="shared" si="26"/>
        <v>0</v>
      </c>
      <c r="G167" s="22">
        <v>8</v>
      </c>
      <c r="H167" s="10" t="s">
        <v>1</v>
      </c>
      <c r="I167" s="22">
        <f t="shared" si="27"/>
        <v>0</v>
      </c>
      <c r="J167" s="18">
        <f t="shared" si="28"/>
        <v>0</v>
      </c>
      <c r="K167" s="18">
        <f t="shared" si="22"/>
        <v>0</v>
      </c>
    </row>
    <row r="168" spans="1:11" ht="14" thickBot="1">
      <c r="A168" s="62" t="s">
        <v>135</v>
      </c>
      <c r="B168" s="38"/>
      <c r="C168" s="10"/>
      <c r="D168" s="20">
        <v>150</v>
      </c>
      <c r="E168" s="10" t="s">
        <v>1</v>
      </c>
      <c r="F168" s="21">
        <f t="shared" si="26"/>
        <v>0</v>
      </c>
      <c r="G168" s="22">
        <v>6</v>
      </c>
      <c r="H168" s="10" t="s">
        <v>1</v>
      </c>
      <c r="I168" s="22">
        <f t="shared" si="27"/>
        <v>0</v>
      </c>
      <c r="J168" s="18">
        <f t="shared" si="28"/>
        <v>0</v>
      </c>
      <c r="K168" s="18">
        <f t="shared" si="22"/>
        <v>0</v>
      </c>
    </row>
    <row r="169" spans="1:11" ht="14" thickBot="1">
      <c r="A169" s="62" t="s">
        <v>137</v>
      </c>
      <c r="B169" s="38"/>
      <c r="C169" s="10"/>
      <c r="D169" s="20">
        <v>150</v>
      </c>
      <c r="E169" s="10" t="s">
        <v>1</v>
      </c>
      <c r="F169" s="21">
        <f t="shared" si="26"/>
        <v>0</v>
      </c>
      <c r="G169" s="22">
        <v>6</v>
      </c>
      <c r="H169" s="10" t="s">
        <v>1</v>
      </c>
      <c r="I169" s="22">
        <f t="shared" si="27"/>
        <v>0</v>
      </c>
      <c r="J169" s="18">
        <f t="shared" si="28"/>
        <v>0</v>
      </c>
      <c r="K169" s="18">
        <f t="shared" si="22"/>
        <v>0</v>
      </c>
    </row>
    <row r="170" spans="1:11" ht="14" thickBot="1">
      <c r="A170" s="62" t="s">
        <v>136</v>
      </c>
      <c r="B170" s="38"/>
      <c r="C170" s="10"/>
      <c r="D170" s="20">
        <v>70</v>
      </c>
      <c r="E170" s="10" t="s">
        <v>1</v>
      </c>
      <c r="F170" s="21">
        <f t="shared" si="26"/>
        <v>0</v>
      </c>
      <c r="G170" s="22">
        <v>1.25</v>
      </c>
      <c r="H170" s="10" t="s">
        <v>1</v>
      </c>
      <c r="I170" s="22">
        <f t="shared" si="27"/>
        <v>0</v>
      </c>
      <c r="J170" s="18">
        <f t="shared" si="28"/>
        <v>0</v>
      </c>
      <c r="K170" s="18">
        <f t="shared" si="22"/>
        <v>0</v>
      </c>
    </row>
    <row r="171" spans="1:11" ht="14" thickBot="1">
      <c r="A171" s="62" t="s">
        <v>87</v>
      </c>
      <c r="B171" s="38"/>
      <c r="C171" s="10"/>
      <c r="D171" s="20">
        <v>125</v>
      </c>
      <c r="E171" s="10" t="s">
        <v>1</v>
      </c>
      <c r="F171" s="21">
        <f t="shared" si="26"/>
        <v>0</v>
      </c>
      <c r="G171" s="22">
        <v>8</v>
      </c>
      <c r="H171" s="10" t="s">
        <v>1</v>
      </c>
      <c r="I171" s="22">
        <f t="shared" si="27"/>
        <v>0</v>
      </c>
      <c r="J171" s="18">
        <f t="shared" si="28"/>
        <v>0</v>
      </c>
      <c r="K171" s="18">
        <f t="shared" si="22"/>
        <v>0</v>
      </c>
    </row>
    <row r="172" spans="1:11" ht="14" thickBot="1">
      <c r="A172" s="31" t="s">
        <v>162</v>
      </c>
      <c r="B172" s="36"/>
      <c r="C172" s="10"/>
      <c r="D172" s="20">
        <v>125</v>
      </c>
      <c r="E172" s="10" t="s">
        <v>1</v>
      </c>
      <c r="F172" s="21">
        <f>+D172*C172</f>
        <v>0</v>
      </c>
      <c r="G172" s="22">
        <v>2</v>
      </c>
      <c r="H172" s="10" t="s">
        <v>1</v>
      </c>
      <c r="I172" s="22">
        <f>+G172*C172</f>
        <v>0</v>
      </c>
      <c r="J172" s="18">
        <f t="shared" si="28"/>
        <v>0</v>
      </c>
      <c r="K172" s="18">
        <f t="shared" si="22"/>
        <v>0</v>
      </c>
    </row>
    <row r="173" spans="1:11" ht="14" thickBot="1">
      <c r="A173" s="62"/>
      <c r="B173" s="36" t="s">
        <v>70</v>
      </c>
      <c r="C173" s="10"/>
      <c r="D173" s="20">
        <f>(FEEDERS!$D$84*3)/10+FEEDERS!$D$11</f>
        <v>283.51</v>
      </c>
      <c r="E173" s="10" t="s">
        <v>0</v>
      </c>
      <c r="F173" s="21">
        <f>+(D173*C173)/100</f>
        <v>0</v>
      </c>
      <c r="G173" s="22">
        <f>(FEEDERS!$G$84*3)/10+FEEDERS!$G$11</f>
        <v>6.76</v>
      </c>
      <c r="H173" s="10" t="s">
        <v>0</v>
      </c>
      <c r="I173" s="22">
        <f>+(G173*C173)/100</f>
        <v>0</v>
      </c>
      <c r="J173" s="18">
        <f t="shared" si="28"/>
        <v>0</v>
      </c>
      <c r="K173" s="18">
        <f t="shared" si="22"/>
        <v>0</v>
      </c>
    </row>
    <row r="174" spans="1:11" ht="14" thickBot="1">
      <c r="A174" s="29" t="s">
        <v>181</v>
      </c>
      <c r="B174" s="36"/>
      <c r="C174" s="10"/>
      <c r="D174" s="20">
        <v>200</v>
      </c>
      <c r="E174" s="10" t="s">
        <v>1</v>
      </c>
      <c r="F174" s="21">
        <f>+D174*C174</f>
        <v>0</v>
      </c>
      <c r="G174" s="22">
        <v>3</v>
      </c>
      <c r="H174" s="10" t="s">
        <v>1</v>
      </c>
      <c r="I174" s="22">
        <f>+G174*C174</f>
        <v>0</v>
      </c>
      <c r="J174" s="18">
        <f t="shared" si="28"/>
        <v>0</v>
      </c>
      <c r="K174" s="18">
        <f>IF(J174=0,0,J174/C174)</f>
        <v>0</v>
      </c>
    </row>
    <row r="175" spans="1:11" ht="14" thickBot="1">
      <c r="A175" s="62"/>
      <c r="B175" s="36" t="s">
        <v>70</v>
      </c>
      <c r="C175" s="10"/>
      <c r="D175" s="20">
        <f>(FEEDERS!$D$86*3)/10+FEEDERS!$D$11</f>
        <v>458.04999999999995</v>
      </c>
      <c r="E175" s="10" t="s">
        <v>0</v>
      </c>
      <c r="F175" s="21">
        <f>+(D175*C175)/100</f>
        <v>0</v>
      </c>
      <c r="G175" s="22">
        <f>(FEEDERS!$G$86*3)/10+FEEDERS!$G$11</f>
        <v>7.0600000000000005</v>
      </c>
      <c r="H175" s="10" t="s">
        <v>0</v>
      </c>
      <c r="I175" s="22">
        <f>+(G175*C175)/100</f>
        <v>0</v>
      </c>
      <c r="J175" s="18">
        <f t="shared" si="28"/>
        <v>0</v>
      </c>
      <c r="K175" s="18">
        <f>IF(J175=0,0,J175/C175)</f>
        <v>0</v>
      </c>
    </row>
    <row r="176" spans="1:11" ht="14" thickBot="1">
      <c r="A176" s="31" t="s">
        <v>163</v>
      </c>
      <c r="B176" s="36"/>
      <c r="C176" s="10"/>
      <c r="D176" s="20">
        <v>200</v>
      </c>
      <c r="E176" s="10" t="s">
        <v>1</v>
      </c>
      <c r="F176" s="21">
        <f>+D176*C176</f>
        <v>0</v>
      </c>
      <c r="G176" s="22">
        <v>3</v>
      </c>
      <c r="H176" s="10" t="s">
        <v>1</v>
      </c>
      <c r="I176" s="22">
        <f>+G176*C176</f>
        <v>0</v>
      </c>
      <c r="J176" s="18">
        <f t="shared" si="28"/>
        <v>0</v>
      </c>
      <c r="K176" s="18">
        <f t="shared" si="22"/>
        <v>0</v>
      </c>
    </row>
    <row r="177" spans="1:11" ht="14" thickBot="1">
      <c r="A177" s="62"/>
      <c r="B177" s="36" t="s">
        <v>70</v>
      </c>
      <c r="C177" s="10"/>
      <c r="D177" s="20">
        <f>(FEEDERS!$D$87*3)/10+FEEDERS!$D$12</f>
        <v>731.3</v>
      </c>
      <c r="E177" s="10" t="s">
        <v>0</v>
      </c>
      <c r="F177" s="21">
        <f>+(D177*C177)/100</f>
        <v>0</v>
      </c>
      <c r="G177" s="22">
        <f>(FEEDERS!$G$87*3)/10+FEEDERS!$G$12</f>
        <v>9.4879999999999995</v>
      </c>
      <c r="H177" s="10" t="s">
        <v>0</v>
      </c>
      <c r="I177" s="22">
        <f>+(G177*C177)/100</f>
        <v>0</v>
      </c>
      <c r="J177" s="18">
        <f t="shared" si="28"/>
        <v>0</v>
      </c>
      <c r="K177" s="18">
        <f t="shared" si="22"/>
        <v>0</v>
      </c>
    </row>
    <row r="178" spans="1:11" ht="14" thickBot="1">
      <c r="A178" s="31" t="s">
        <v>113</v>
      </c>
      <c r="B178" s="36"/>
      <c r="C178" s="10"/>
      <c r="D178" s="20">
        <v>350</v>
      </c>
      <c r="E178" s="10" t="s">
        <v>1</v>
      </c>
      <c r="F178" s="21">
        <f t="shared" si="26"/>
        <v>0</v>
      </c>
      <c r="G178" s="22">
        <v>4</v>
      </c>
      <c r="H178" s="10" t="s">
        <v>1</v>
      </c>
      <c r="I178" s="22">
        <f t="shared" si="27"/>
        <v>0</v>
      </c>
      <c r="J178" s="18">
        <f t="shared" si="28"/>
        <v>0</v>
      </c>
      <c r="K178" s="18">
        <f t="shared" si="22"/>
        <v>0</v>
      </c>
    </row>
    <row r="179" spans="1:11" ht="14" thickBot="1">
      <c r="A179" s="31"/>
      <c r="B179" s="36" t="s">
        <v>70</v>
      </c>
      <c r="C179" s="10"/>
      <c r="D179" s="20">
        <f>(FEEDERS!$D$88*3)/10+FEEDERS!$D$13</f>
        <v>1012.8299999999999</v>
      </c>
      <c r="E179" s="10" t="s">
        <v>0</v>
      </c>
      <c r="F179" s="21">
        <f>+(D179*C179)/100</f>
        <v>0</v>
      </c>
      <c r="G179" s="22">
        <f>(FEEDERS!$G$88*3)/10+FEEDERS!$G$13</f>
        <v>10.882000000000001</v>
      </c>
      <c r="H179" s="10" t="s">
        <v>0</v>
      </c>
      <c r="I179" s="22">
        <f>+(G179*C179)/100</f>
        <v>0</v>
      </c>
      <c r="J179" s="18">
        <f t="shared" si="28"/>
        <v>0</v>
      </c>
      <c r="K179" s="18">
        <f t="shared" si="22"/>
        <v>0</v>
      </c>
    </row>
    <row r="180" spans="1:11" ht="14" thickBot="1">
      <c r="A180" s="31" t="s">
        <v>108</v>
      </c>
      <c r="B180" s="36"/>
      <c r="C180" s="10"/>
      <c r="D180" s="20">
        <v>725</v>
      </c>
      <c r="E180" s="10" t="s">
        <v>1</v>
      </c>
      <c r="F180" s="21">
        <f>+D180*C180</f>
        <v>0</v>
      </c>
      <c r="G180" s="22">
        <v>6.5</v>
      </c>
      <c r="H180" s="10" t="s">
        <v>1</v>
      </c>
      <c r="I180" s="22">
        <f>+G180*C180</f>
        <v>0</v>
      </c>
      <c r="J180" s="18">
        <f t="shared" si="28"/>
        <v>0</v>
      </c>
      <c r="K180" s="18">
        <f t="shared" si="22"/>
        <v>0</v>
      </c>
    </row>
    <row r="181" spans="1:11" ht="14" thickBot="1">
      <c r="A181" s="31"/>
      <c r="B181" s="36" t="s">
        <v>70</v>
      </c>
      <c r="C181" s="10"/>
      <c r="D181" s="20">
        <f>(FEEDERS!$D$93*3)/10+FEEDERS!$D$15</f>
        <v>2044.7550000000001</v>
      </c>
      <c r="E181" s="10" t="s">
        <v>0</v>
      </c>
      <c r="F181" s="21">
        <f>+(D181*C181)/100</f>
        <v>0</v>
      </c>
      <c r="G181" s="22">
        <f>(FEEDERS!$G$93*3)/10+FEEDERS!$G$15</f>
        <v>16.312999999999999</v>
      </c>
      <c r="H181" s="10" t="s">
        <v>0</v>
      </c>
      <c r="I181" s="22">
        <f>+(G181*C181)/100</f>
        <v>0</v>
      </c>
      <c r="J181" s="18">
        <f t="shared" si="28"/>
        <v>0</v>
      </c>
      <c r="K181" s="18">
        <f t="shared" si="22"/>
        <v>0</v>
      </c>
    </row>
    <row r="182" spans="1:11" ht="14" thickBot="1">
      <c r="A182" s="31" t="s">
        <v>109</v>
      </c>
      <c r="B182" s="36"/>
      <c r="C182" s="10"/>
      <c r="D182" s="20">
        <v>1300</v>
      </c>
      <c r="E182" s="10" t="s">
        <v>1</v>
      </c>
      <c r="F182" s="21">
        <f>+D182*C182</f>
        <v>0</v>
      </c>
      <c r="G182" s="22">
        <v>10.75</v>
      </c>
      <c r="H182" s="10" t="s">
        <v>1</v>
      </c>
      <c r="I182" s="22">
        <f>+G182*C182</f>
        <v>0</v>
      </c>
      <c r="J182" s="18">
        <f t="shared" si="28"/>
        <v>0</v>
      </c>
      <c r="K182" s="18">
        <f t="shared" si="22"/>
        <v>0</v>
      </c>
    </row>
    <row r="183" spans="1:11" ht="14" thickBot="1">
      <c r="A183" s="31"/>
      <c r="B183" s="36" t="s">
        <v>70</v>
      </c>
      <c r="C183" s="10"/>
      <c r="D183" s="20">
        <f>(FEEDERS!$D$99*3)/10+FEEDERS!$D$19</f>
        <v>5393.8149999999996</v>
      </c>
      <c r="E183" s="10" t="s">
        <v>0</v>
      </c>
      <c r="F183" s="21">
        <f>+(D183*C183)/100</f>
        <v>0</v>
      </c>
      <c r="G183" s="22">
        <f>(FEEDERS!$G$99*3)/10+FEEDERS!$G$19</f>
        <v>28.674999999999997</v>
      </c>
      <c r="H183" s="10" t="s">
        <v>0</v>
      </c>
      <c r="I183" s="22">
        <f>+(G183*C183)/100</f>
        <v>0</v>
      </c>
      <c r="J183" s="18">
        <f t="shared" si="28"/>
        <v>0</v>
      </c>
      <c r="K183" s="18">
        <f t="shared" si="22"/>
        <v>0</v>
      </c>
    </row>
    <row r="184" spans="1:11" ht="14" thickBot="1">
      <c r="A184" s="31" t="s">
        <v>112</v>
      </c>
      <c r="B184" s="36"/>
      <c r="C184" s="10"/>
      <c r="D184" s="20">
        <v>2600</v>
      </c>
      <c r="E184" s="10" t="s">
        <v>1</v>
      </c>
      <c r="F184" s="21">
        <f>+D184*C184</f>
        <v>0</v>
      </c>
      <c r="G184" s="22">
        <v>18</v>
      </c>
      <c r="H184" s="10" t="s">
        <v>1</v>
      </c>
      <c r="I184" s="22">
        <f>+G184*C184</f>
        <v>0</v>
      </c>
      <c r="J184" s="18">
        <f t="shared" si="28"/>
        <v>0</v>
      </c>
      <c r="K184" s="18">
        <f t="shared" si="22"/>
        <v>0</v>
      </c>
    </row>
    <row r="185" spans="1:11" ht="14" thickBot="1">
      <c r="A185" s="31"/>
      <c r="B185" s="36" t="s">
        <v>70</v>
      </c>
      <c r="C185" s="10"/>
      <c r="D185" s="20">
        <f>((FEEDERS!$D$97*3)/10+FEEDERS!$D$17)*2</f>
        <v>7959.58</v>
      </c>
      <c r="E185" s="10" t="s">
        <v>0</v>
      </c>
      <c r="F185" s="21">
        <f>+(D185*C185)/100</f>
        <v>0</v>
      </c>
      <c r="G185" s="22">
        <f>((FEEDERS!$G$97*3)/10+FEEDERS!$G$17)*2</f>
        <v>43.2</v>
      </c>
      <c r="H185" s="10" t="s">
        <v>0</v>
      </c>
      <c r="I185" s="22">
        <f>+(G185*C185)/100</f>
        <v>0</v>
      </c>
      <c r="J185" s="18">
        <f t="shared" si="28"/>
        <v>0</v>
      </c>
      <c r="K185" s="18">
        <f t="shared" si="22"/>
        <v>0</v>
      </c>
    </row>
    <row r="186" spans="1:11" ht="14" thickBot="1">
      <c r="A186" s="31" t="s">
        <v>111</v>
      </c>
      <c r="B186" s="36"/>
      <c r="C186" s="10"/>
      <c r="D186" s="20">
        <v>3000</v>
      </c>
      <c r="E186" s="10" t="s">
        <v>1</v>
      </c>
      <c r="F186" s="21">
        <f>+D186*C186</f>
        <v>0</v>
      </c>
      <c r="G186" s="22">
        <v>20</v>
      </c>
      <c r="H186" s="10" t="s">
        <v>1</v>
      </c>
      <c r="I186" s="22">
        <f>+G186*C186</f>
        <v>0</v>
      </c>
      <c r="J186" s="18">
        <f t="shared" si="28"/>
        <v>0</v>
      </c>
      <c r="K186" s="18">
        <f t="shared" si="22"/>
        <v>0</v>
      </c>
    </row>
    <row r="187" spans="1:11" ht="14" thickBot="1">
      <c r="A187" s="31"/>
      <c r="B187" s="36" t="s">
        <v>70</v>
      </c>
      <c r="C187" s="10"/>
      <c r="D187" s="20">
        <f>((FEEDERS!$D$99*3)/10+FEEDERS!$D$19)*2</f>
        <v>10787.63</v>
      </c>
      <c r="E187" s="10" t="s">
        <v>0</v>
      </c>
      <c r="F187" s="21">
        <f>+(D187*C187)/100</f>
        <v>0</v>
      </c>
      <c r="G187" s="22">
        <f>((FEEDERS!$G$99*3)/10+FEEDERS!$G$19)*2</f>
        <v>57.349999999999994</v>
      </c>
      <c r="H187" s="10" t="s">
        <v>0</v>
      </c>
      <c r="I187" s="22">
        <f>+(G187*C187)/100</f>
        <v>0</v>
      </c>
      <c r="J187" s="18">
        <f t="shared" si="28"/>
        <v>0</v>
      </c>
      <c r="K187" s="18">
        <f t="shared" si="22"/>
        <v>0</v>
      </c>
    </row>
    <row r="188" spans="1:11" ht="14" thickBot="1">
      <c r="A188" s="31" t="s">
        <v>110</v>
      </c>
      <c r="B188" s="36"/>
      <c r="C188" s="10"/>
      <c r="D188" s="20">
        <v>4000</v>
      </c>
      <c r="E188" s="10" t="s">
        <v>1</v>
      </c>
      <c r="F188" s="21">
        <f>+D188*C188</f>
        <v>0</v>
      </c>
      <c r="G188" s="22">
        <v>30</v>
      </c>
      <c r="H188" s="10" t="s">
        <v>1</v>
      </c>
      <c r="I188" s="22">
        <f>+G188*C188</f>
        <v>0</v>
      </c>
      <c r="J188" s="18">
        <f t="shared" si="28"/>
        <v>0</v>
      </c>
      <c r="K188" s="18">
        <f t="shared" si="22"/>
        <v>0</v>
      </c>
    </row>
    <row r="189" spans="1:11" ht="14" thickBot="1">
      <c r="A189" s="31"/>
      <c r="B189" s="36" t="s">
        <v>70</v>
      </c>
      <c r="C189" s="10"/>
      <c r="D189" s="20">
        <f>((FEEDERS!$D$100*3)/10+FEEDERS!$D$19)*3</f>
        <v>19017.390000000003</v>
      </c>
      <c r="E189" s="10" t="s">
        <v>0</v>
      </c>
      <c r="F189" s="21">
        <f>+(D189*C189)/100</f>
        <v>0</v>
      </c>
      <c r="G189" s="22">
        <f>((FEEDERS!$G$100*3)/10+FEEDERS!$G$19)*3</f>
        <v>89.625</v>
      </c>
      <c r="H189" s="10" t="s">
        <v>0</v>
      </c>
      <c r="I189" s="22">
        <f>+(G189*C189)/100</f>
        <v>0</v>
      </c>
      <c r="J189" s="18">
        <f t="shared" si="28"/>
        <v>0</v>
      </c>
      <c r="K189" s="18">
        <f t="shared" si="22"/>
        <v>0</v>
      </c>
    </row>
    <row r="190" spans="1:11" ht="14" thickBot="1">
      <c r="A190" s="31"/>
      <c r="B190" s="38"/>
      <c r="C190" s="10"/>
      <c r="D190" s="20"/>
      <c r="E190" s="10"/>
      <c r="F190" s="21"/>
      <c r="G190" s="22"/>
      <c r="H190" s="10"/>
      <c r="I190" s="22"/>
      <c r="J190" s="18"/>
      <c r="K190" s="18"/>
    </row>
    <row r="191" spans="1:11" ht="14" thickBot="1">
      <c r="A191" s="30" t="s">
        <v>34</v>
      </c>
      <c r="B191" s="38">
        <f>SUM(J192:J231)</f>
        <v>0</v>
      </c>
      <c r="C191" s="10"/>
      <c r="D191" s="20"/>
      <c r="E191" s="10"/>
      <c r="F191" s="21"/>
      <c r="G191" s="22"/>
      <c r="H191" s="10"/>
      <c r="I191" s="22"/>
      <c r="J191" s="18"/>
      <c r="K191" s="18"/>
    </row>
    <row r="192" spans="1:11" ht="14" thickBot="1">
      <c r="A192" s="31" t="s">
        <v>171</v>
      </c>
      <c r="B192" s="35"/>
      <c r="C192" s="10">
        <v>1</v>
      </c>
      <c r="D192" s="20">
        <f>M220</f>
        <v>0</v>
      </c>
      <c r="E192" s="10" t="s">
        <v>1</v>
      </c>
      <c r="F192" s="21">
        <f t="shared" ref="F192:F230" si="29">+D192*C192</f>
        <v>0</v>
      </c>
      <c r="G192" s="22">
        <v>0</v>
      </c>
      <c r="H192" s="10" t="s">
        <v>1</v>
      </c>
      <c r="I192" s="22">
        <f t="shared" ref="I192:I230" si="30">+G192*C192</f>
        <v>0</v>
      </c>
      <c r="J192" s="18">
        <f t="shared" ref="J192:J230" si="31">+(((I192*$I$323)+(F192*(1+$E$323)))*(1+$C$329))</f>
        <v>0</v>
      </c>
      <c r="K192" s="18">
        <f t="shared" si="22"/>
        <v>0</v>
      </c>
    </row>
    <row r="193" spans="1:13" ht="14" thickBot="1">
      <c r="A193" s="31" t="s">
        <v>168</v>
      </c>
      <c r="B193" s="35"/>
      <c r="C193" s="10"/>
      <c r="D193" s="20">
        <v>150</v>
      </c>
      <c r="E193" s="10" t="s">
        <v>1</v>
      </c>
      <c r="F193" s="21">
        <f t="shared" ref="F193:F198" si="32">+D193*C193</f>
        <v>0</v>
      </c>
      <c r="G193" s="22">
        <v>4</v>
      </c>
      <c r="H193" s="10" t="s">
        <v>1</v>
      </c>
      <c r="I193" s="22">
        <f t="shared" ref="I193:I198" si="33">+G193*C193</f>
        <v>0</v>
      </c>
      <c r="J193" s="18">
        <f t="shared" si="31"/>
        <v>0</v>
      </c>
      <c r="K193" s="18">
        <f t="shared" ref="K193:K198" si="34">IF(J193=0,0,J193/C193)</f>
        <v>0</v>
      </c>
      <c r="L193" s="27">
        <v>1</v>
      </c>
      <c r="M193" s="27">
        <f t="shared" ref="M193:M216" si="35">L193*C193</f>
        <v>0</v>
      </c>
    </row>
    <row r="194" spans="1:13" ht="14" thickBot="1">
      <c r="A194" s="31" t="s">
        <v>169</v>
      </c>
      <c r="B194" s="35"/>
      <c r="C194" s="10"/>
      <c r="D194" s="20">
        <v>200</v>
      </c>
      <c r="E194" s="10" t="s">
        <v>1</v>
      </c>
      <c r="F194" s="21">
        <f t="shared" si="32"/>
        <v>0</v>
      </c>
      <c r="G194" s="22">
        <v>4</v>
      </c>
      <c r="H194" s="10" t="s">
        <v>1</v>
      </c>
      <c r="I194" s="22">
        <f t="shared" si="33"/>
        <v>0</v>
      </c>
      <c r="J194" s="18">
        <f t="shared" si="31"/>
        <v>0</v>
      </c>
      <c r="K194" s="18">
        <f t="shared" si="34"/>
        <v>0</v>
      </c>
      <c r="L194" s="27">
        <v>1</v>
      </c>
      <c r="M194" s="27">
        <f t="shared" si="35"/>
        <v>0</v>
      </c>
    </row>
    <row r="195" spans="1:13" ht="14" thickBot="1">
      <c r="A195" s="29" t="s">
        <v>456</v>
      </c>
      <c r="B195" s="35"/>
      <c r="C195" s="10"/>
      <c r="D195" s="20">
        <v>510</v>
      </c>
      <c r="E195" s="10" t="s">
        <v>1</v>
      </c>
      <c r="F195" s="21">
        <f t="shared" si="32"/>
        <v>0</v>
      </c>
      <c r="G195" s="22">
        <v>4</v>
      </c>
      <c r="H195" s="10" t="s">
        <v>1</v>
      </c>
      <c r="I195" s="22">
        <f t="shared" si="33"/>
        <v>0</v>
      </c>
      <c r="J195" s="18">
        <f t="shared" si="31"/>
        <v>0</v>
      </c>
      <c r="K195" s="18">
        <f t="shared" si="34"/>
        <v>0</v>
      </c>
      <c r="L195" s="27">
        <v>1</v>
      </c>
      <c r="M195" s="27">
        <f>L195*C195</f>
        <v>0</v>
      </c>
    </row>
    <row r="196" spans="1:13" ht="14" thickBot="1">
      <c r="A196" s="29" t="s">
        <v>457</v>
      </c>
      <c r="B196" s="35"/>
      <c r="C196" s="10"/>
      <c r="D196" s="20">
        <v>575</v>
      </c>
      <c r="E196" s="10" t="s">
        <v>1</v>
      </c>
      <c r="F196" s="21">
        <f t="shared" si="32"/>
        <v>0</v>
      </c>
      <c r="G196" s="22">
        <v>4</v>
      </c>
      <c r="H196" s="10" t="s">
        <v>1</v>
      </c>
      <c r="I196" s="22">
        <f t="shared" si="33"/>
        <v>0</v>
      </c>
      <c r="J196" s="18">
        <f t="shared" si="31"/>
        <v>0</v>
      </c>
      <c r="K196" s="18">
        <f t="shared" si="34"/>
        <v>0</v>
      </c>
      <c r="L196" s="27">
        <v>1</v>
      </c>
      <c r="M196" s="27">
        <f>L196*C196</f>
        <v>0</v>
      </c>
    </row>
    <row r="197" spans="1:13" ht="14" thickBot="1">
      <c r="A197" s="29" t="s">
        <v>446</v>
      </c>
      <c r="B197" s="35"/>
      <c r="C197" s="10"/>
      <c r="D197" s="20">
        <v>250</v>
      </c>
      <c r="E197" s="10" t="s">
        <v>1</v>
      </c>
      <c r="F197" s="21">
        <f t="shared" si="32"/>
        <v>0</v>
      </c>
      <c r="G197" s="22">
        <v>4.25</v>
      </c>
      <c r="H197" s="10" t="s">
        <v>1</v>
      </c>
      <c r="I197" s="22">
        <f t="shared" si="33"/>
        <v>0</v>
      </c>
      <c r="J197" s="18">
        <f t="shared" si="31"/>
        <v>0</v>
      </c>
      <c r="K197" s="18">
        <f t="shared" si="34"/>
        <v>0</v>
      </c>
      <c r="L197" s="27">
        <v>1</v>
      </c>
      <c r="M197" s="27">
        <f>L197*C197</f>
        <v>0</v>
      </c>
    </row>
    <row r="198" spans="1:13" ht="14" thickBot="1">
      <c r="A198" s="29" t="s">
        <v>447</v>
      </c>
      <c r="B198" s="35"/>
      <c r="C198" s="10"/>
      <c r="D198" s="20">
        <v>300</v>
      </c>
      <c r="E198" s="10" t="s">
        <v>1</v>
      </c>
      <c r="F198" s="21">
        <f t="shared" si="32"/>
        <v>0</v>
      </c>
      <c r="G198" s="22">
        <v>4.25</v>
      </c>
      <c r="H198" s="10" t="s">
        <v>1</v>
      </c>
      <c r="I198" s="22">
        <f t="shared" si="33"/>
        <v>0</v>
      </c>
      <c r="J198" s="18">
        <f t="shared" si="31"/>
        <v>0</v>
      </c>
      <c r="K198" s="18">
        <f t="shared" si="34"/>
        <v>0</v>
      </c>
      <c r="L198" s="27">
        <v>1</v>
      </c>
      <c r="M198" s="27">
        <f>L198*C198</f>
        <v>0</v>
      </c>
    </row>
    <row r="199" spans="1:13" ht="14" thickBot="1">
      <c r="A199" s="31" t="s">
        <v>96</v>
      </c>
      <c r="B199" s="35"/>
      <c r="C199" s="10"/>
      <c r="D199" s="20">
        <v>185</v>
      </c>
      <c r="E199" s="10" t="s">
        <v>1</v>
      </c>
      <c r="F199" s="21">
        <f t="shared" si="29"/>
        <v>0</v>
      </c>
      <c r="G199" s="22">
        <v>3</v>
      </c>
      <c r="H199" s="10" t="s">
        <v>1</v>
      </c>
      <c r="I199" s="22">
        <f t="shared" si="30"/>
        <v>0</v>
      </c>
      <c r="J199" s="18">
        <f t="shared" si="31"/>
        <v>0</v>
      </c>
      <c r="K199" s="18">
        <f t="shared" si="22"/>
        <v>0</v>
      </c>
      <c r="L199" s="27">
        <v>1</v>
      </c>
      <c r="M199" s="27">
        <f t="shared" si="35"/>
        <v>0</v>
      </c>
    </row>
    <row r="200" spans="1:13" ht="14" thickBot="1">
      <c r="A200" s="31" t="s">
        <v>121</v>
      </c>
      <c r="B200" s="35"/>
      <c r="C200" s="10"/>
      <c r="D200" s="20">
        <v>150</v>
      </c>
      <c r="E200" s="10" t="s">
        <v>1</v>
      </c>
      <c r="F200" s="21">
        <f t="shared" si="29"/>
        <v>0</v>
      </c>
      <c r="G200" s="22">
        <v>3</v>
      </c>
      <c r="H200" s="10" t="s">
        <v>1</v>
      </c>
      <c r="I200" s="22">
        <f t="shared" si="30"/>
        <v>0</v>
      </c>
      <c r="J200" s="18">
        <f t="shared" si="31"/>
        <v>0</v>
      </c>
      <c r="K200" s="18">
        <f t="shared" si="22"/>
        <v>0</v>
      </c>
      <c r="L200" s="27">
        <v>1</v>
      </c>
      <c r="M200" s="27">
        <f t="shared" si="35"/>
        <v>0</v>
      </c>
    </row>
    <row r="201" spans="1:13" ht="14" thickBot="1">
      <c r="A201" s="31" t="s">
        <v>148</v>
      </c>
      <c r="B201" s="35"/>
      <c r="C201" s="10"/>
      <c r="D201" s="20">
        <v>150</v>
      </c>
      <c r="E201" s="10" t="s">
        <v>1</v>
      </c>
      <c r="F201" s="21">
        <f t="shared" si="29"/>
        <v>0</v>
      </c>
      <c r="G201" s="22">
        <v>3</v>
      </c>
      <c r="H201" s="10" t="s">
        <v>1</v>
      </c>
      <c r="I201" s="22">
        <f t="shared" si="30"/>
        <v>0</v>
      </c>
      <c r="J201" s="18">
        <f t="shared" si="31"/>
        <v>0</v>
      </c>
      <c r="K201" s="18">
        <f t="shared" si="22"/>
        <v>0</v>
      </c>
      <c r="L201" s="27">
        <v>1</v>
      </c>
      <c r="M201" s="27">
        <f t="shared" si="35"/>
        <v>0</v>
      </c>
    </row>
    <row r="202" spans="1:13" ht="14" thickBot="1">
      <c r="A202" s="31" t="s">
        <v>122</v>
      </c>
      <c r="B202" s="35"/>
      <c r="C202" s="10"/>
      <c r="D202" s="20">
        <v>70</v>
      </c>
      <c r="E202" s="10" t="s">
        <v>1</v>
      </c>
      <c r="F202" s="21">
        <f t="shared" si="29"/>
        <v>0</v>
      </c>
      <c r="G202" s="22">
        <v>1.25</v>
      </c>
      <c r="H202" s="10" t="s">
        <v>1</v>
      </c>
      <c r="I202" s="22">
        <f t="shared" si="30"/>
        <v>0</v>
      </c>
      <c r="J202" s="18">
        <f t="shared" si="31"/>
        <v>0</v>
      </c>
      <c r="K202" s="18">
        <f t="shared" si="22"/>
        <v>0</v>
      </c>
      <c r="L202" s="27">
        <v>1</v>
      </c>
      <c r="M202" s="27">
        <f t="shared" si="35"/>
        <v>0</v>
      </c>
    </row>
    <row r="203" spans="1:13" ht="14" thickBot="1">
      <c r="A203" s="29" t="s">
        <v>516</v>
      </c>
      <c r="B203" s="35"/>
      <c r="C203" s="10"/>
      <c r="D203" s="20">
        <v>100</v>
      </c>
      <c r="E203" s="10" t="s">
        <v>1</v>
      </c>
      <c r="F203" s="21">
        <f t="shared" si="29"/>
        <v>0</v>
      </c>
      <c r="G203" s="22">
        <v>3</v>
      </c>
      <c r="H203" s="10" t="s">
        <v>1</v>
      </c>
      <c r="I203" s="22">
        <f t="shared" si="30"/>
        <v>0</v>
      </c>
      <c r="J203" s="18">
        <f t="shared" si="31"/>
        <v>0</v>
      </c>
      <c r="K203" s="18">
        <f t="shared" si="22"/>
        <v>0</v>
      </c>
      <c r="L203" s="27">
        <v>1</v>
      </c>
      <c r="M203" s="27">
        <f t="shared" si="35"/>
        <v>0</v>
      </c>
    </row>
    <row r="204" spans="1:13" ht="14" thickBot="1">
      <c r="A204" s="29" t="s">
        <v>515</v>
      </c>
      <c r="B204" s="35"/>
      <c r="C204" s="10"/>
      <c r="D204" s="20">
        <v>100</v>
      </c>
      <c r="E204" s="10" t="s">
        <v>1</v>
      </c>
      <c r="F204" s="21">
        <f t="shared" si="29"/>
        <v>0</v>
      </c>
      <c r="G204" s="22">
        <v>3.25</v>
      </c>
      <c r="H204" s="10" t="s">
        <v>1</v>
      </c>
      <c r="I204" s="22">
        <f t="shared" si="30"/>
        <v>0</v>
      </c>
      <c r="J204" s="18">
        <f t="shared" si="31"/>
        <v>0</v>
      </c>
      <c r="K204" s="18">
        <f t="shared" si="22"/>
        <v>0</v>
      </c>
      <c r="L204" s="27">
        <v>1</v>
      </c>
      <c r="M204" s="27">
        <f t="shared" si="35"/>
        <v>0</v>
      </c>
    </row>
    <row r="205" spans="1:13" ht="14" thickBot="1">
      <c r="A205" s="29" t="s">
        <v>514</v>
      </c>
      <c r="B205" s="35"/>
      <c r="C205" s="10"/>
      <c r="D205" s="20">
        <v>100</v>
      </c>
      <c r="E205" s="10" t="s">
        <v>1</v>
      </c>
      <c r="F205" s="21">
        <f t="shared" si="29"/>
        <v>0</v>
      </c>
      <c r="G205" s="22">
        <v>2.25</v>
      </c>
      <c r="H205" s="10" t="s">
        <v>1</v>
      </c>
      <c r="I205" s="22">
        <f t="shared" si="30"/>
        <v>0</v>
      </c>
      <c r="J205" s="18">
        <f t="shared" si="31"/>
        <v>0</v>
      </c>
      <c r="K205" s="18">
        <f t="shared" si="22"/>
        <v>0</v>
      </c>
      <c r="L205" s="27">
        <v>1</v>
      </c>
      <c r="M205" s="27">
        <f t="shared" si="35"/>
        <v>0</v>
      </c>
    </row>
    <row r="206" spans="1:13" ht="14" thickBot="1">
      <c r="A206" s="29" t="s">
        <v>506</v>
      </c>
      <c r="B206" s="35"/>
      <c r="C206" s="10"/>
      <c r="D206" s="20">
        <v>50</v>
      </c>
      <c r="E206" s="10" t="s">
        <v>1</v>
      </c>
      <c r="F206" s="21">
        <f t="shared" si="29"/>
        <v>0</v>
      </c>
      <c r="G206" s="22">
        <v>1.5</v>
      </c>
      <c r="H206" s="10" t="s">
        <v>1</v>
      </c>
      <c r="I206" s="22">
        <f t="shared" si="30"/>
        <v>0</v>
      </c>
      <c r="J206" s="18">
        <f t="shared" si="31"/>
        <v>0</v>
      </c>
      <c r="K206" s="18">
        <f t="shared" si="22"/>
        <v>0</v>
      </c>
      <c r="L206" s="27">
        <v>1</v>
      </c>
      <c r="M206" s="27">
        <f t="shared" si="35"/>
        <v>0</v>
      </c>
    </row>
    <row r="207" spans="1:13" ht="14" thickBot="1">
      <c r="A207" s="29" t="s">
        <v>507</v>
      </c>
      <c r="B207" s="35"/>
      <c r="C207" s="10"/>
      <c r="D207" s="20">
        <v>50</v>
      </c>
      <c r="E207" s="10" t="s">
        <v>1</v>
      </c>
      <c r="F207" s="21">
        <f t="shared" si="29"/>
        <v>0</v>
      </c>
      <c r="G207" s="22">
        <v>1.5</v>
      </c>
      <c r="H207" s="10" t="s">
        <v>1</v>
      </c>
      <c r="I207" s="22">
        <f t="shared" si="30"/>
        <v>0</v>
      </c>
      <c r="J207" s="18">
        <f t="shared" si="31"/>
        <v>0</v>
      </c>
      <c r="K207" s="18">
        <f t="shared" si="22"/>
        <v>0</v>
      </c>
      <c r="L207" s="27">
        <v>1</v>
      </c>
      <c r="M207" s="27">
        <f t="shared" si="35"/>
        <v>0</v>
      </c>
    </row>
    <row r="208" spans="1:13" ht="14" thickBot="1">
      <c r="A208" s="29" t="s">
        <v>508</v>
      </c>
      <c r="B208" s="35"/>
      <c r="C208" s="10"/>
      <c r="D208" s="20">
        <v>50</v>
      </c>
      <c r="E208" s="10" t="s">
        <v>1</v>
      </c>
      <c r="F208" s="21">
        <f t="shared" si="29"/>
        <v>0</v>
      </c>
      <c r="G208" s="22">
        <v>2</v>
      </c>
      <c r="H208" s="10" t="s">
        <v>1</v>
      </c>
      <c r="I208" s="22">
        <f t="shared" si="30"/>
        <v>0</v>
      </c>
      <c r="J208" s="18">
        <f t="shared" si="31"/>
        <v>0</v>
      </c>
      <c r="K208" s="18">
        <f t="shared" si="22"/>
        <v>0</v>
      </c>
      <c r="L208" s="27">
        <v>1</v>
      </c>
      <c r="M208" s="27">
        <f t="shared" si="35"/>
        <v>0</v>
      </c>
    </row>
    <row r="209" spans="1:13" ht="14" thickBot="1">
      <c r="A209" s="29" t="s">
        <v>509</v>
      </c>
      <c r="B209" s="35"/>
      <c r="C209" s="10"/>
      <c r="D209" s="20">
        <v>50</v>
      </c>
      <c r="E209" s="10" t="s">
        <v>1</v>
      </c>
      <c r="F209" s="21">
        <f t="shared" si="29"/>
        <v>0</v>
      </c>
      <c r="G209" s="22">
        <v>1.5</v>
      </c>
      <c r="H209" s="10" t="s">
        <v>1</v>
      </c>
      <c r="I209" s="22">
        <f t="shared" si="30"/>
        <v>0</v>
      </c>
      <c r="J209" s="18">
        <f t="shared" si="31"/>
        <v>0</v>
      </c>
      <c r="K209" s="18">
        <f t="shared" si="22"/>
        <v>0</v>
      </c>
      <c r="L209" s="27">
        <v>1</v>
      </c>
      <c r="M209" s="27">
        <f t="shared" si="35"/>
        <v>0</v>
      </c>
    </row>
    <row r="210" spans="1:13" ht="14" thickBot="1">
      <c r="A210" s="29" t="s">
        <v>510</v>
      </c>
      <c r="B210" s="35"/>
      <c r="C210" s="10"/>
      <c r="D210" s="20">
        <v>50</v>
      </c>
      <c r="E210" s="10" t="s">
        <v>1</v>
      </c>
      <c r="F210" s="21">
        <f t="shared" si="29"/>
        <v>0</v>
      </c>
      <c r="G210" s="22">
        <v>1.5</v>
      </c>
      <c r="H210" s="10" t="s">
        <v>1</v>
      </c>
      <c r="I210" s="22">
        <f t="shared" si="30"/>
        <v>0</v>
      </c>
      <c r="J210" s="18">
        <f t="shared" si="31"/>
        <v>0</v>
      </c>
      <c r="K210" s="18">
        <f t="shared" ref="K210:K281" si="36">IF(J210=0,0,J210/C210)</f>
        <v>0</v>
      </c>
      <c r="L210" s="27">
        <v>1</v>
      </c>
      <c r="M210" s="27">
        <f t="shared" si="35"/>
        <v>0</v>
      </c>
    </row>
    <row r="211" spans="1:13" ht="14" thickBot="1">
      <c r="A211" s="29" t="s">
        <v>511</v>
      </c>
      <c r="B211" s="35"/>
      <c r="C211" s="10"/>
      <c r="D211" s="20">
        <v>50</v>
      </c>
      <c r="E211" s="10" t="s">
        <v>1</v>
      </c>
      <c r="F211" s="21">
        <f t="shared" si="29"/>
        <v>0</v>
      </c>
      <c r="G211" s="22">
        <v>1.5</v>
      </c>
      <c r="H211" s="10" t="s">
        <v>1</v>
      </c>
      <c r="I211" s="22">
        <f t="shared" si="30"/>
        <v>0</v>
      </c>
      <c r="J211" s="18">
        <f t="shared" si="31"/>
        <v>0</v>
      </c>
      <c r="K211" s="18">
        <f t="shared" si="36"/>
        <v>0</v>
      </c>
      <c r="L211" s="27">
        <v>1</v>
      </c>
      <c r="M211" s="27">
        <f t="shared" si="35"/>
        <v>0</v>
      </c>
    </row>
    <row r="212" spans="1:13" ht="14" thickBot="1">
      <c r="A212" s="29" t="s">
        <v>512</v>
      </c>
      <c r="B212" s="35"/>
      <c r="C212" s="10"/>
      <c r="D212" s="20">
        <v>50</v>
      </c>
      <c r="E212" s="10" t="s">
        <v>1</v>
      </c>
      <c r="F212" s="21">
        <f t="shared" si="29"/>
        <v>0</v>
      </c>
      <c r="G212" s="22">
        <v>3</v>
      </c>
      <c r="H212" s="10" t="s">
        <v>1</v>
      </c>
      <c r="I212" s="22">
        <f t="shared" si="30"/>
        <v>0</v>
      </c>
      <c r="J212" s="18">
        <f t="shared" si="31"/>
        <v>0</v>
      </c>
      <c r="K212" s="18">
        <f t="shared" si="36"/>
        <v>0</v>
      </c>
      <c r="L212" s="27">
        <v>1</v>
      </c>
      <c r="M212" s="27">
        <f t="shared" si="35"/>
        <v>0</v>
      </c>
    </row>
    <row r="213" spans="1:13" ht="14" thickBot="1">
      <c r="A213" s="29" t="s">
        <v>513</v>
      </c>
      <c r="B213" s="35"/>
      <c r="C213" s="10"/>
      <c r="D213" s="20">
        <v>50</v>
      </c>
      <c r="E213" s="10" t="s">
        <v>1</v>
      </c>
      <c r="F213" s="21">
        <f t="shared" si="29"/>
        <v>0</v>
      </c>
      <c r="G213" s="22">
        <v>3</v>
      </c>
      <c r="H213" s="10" t="s">
        <v>1</v>
      </c>
      <c r="I213" s="22">
        <f t="shared" si="30"/>
        <v>0</v>
      </c>
      <c r="J213" s="18">
        <f t="shared" si="31"/>
        <v>0</v>
      </c>
      <c r="K213" s="18">
        <f t="shared" si="36"/>
        <v>0</v>
      </c>
      <c r="L213" s="27">
        <v>1</v>
      </c>
      <c r="M213" s="27">
        <f t="shared" si="35"/>
        <v>0</v>
      </c>
    </row>
    <row r="214" spans="1:13" ht="14" thickBot="1">
      <c r="A214" s="31" t="s">
        <v>103</v>
      </c>
      <c r="B214" s="35"/>
      <c r="C214" s="10"/>
      <c r="D214" s="20">
        <v>50</v>
      </c>
      <c r="E214" s="10" t="s">
        <v>1</v>
      </c>
      <c r="F214" s="21">
        <f t="shared" si="29"/>
        <v>0</v>
      </c>
      <c r="G214" s="22">
        <v>1.5</v>
      </c>
      <c r="H214" s="10" t="s">
        <v>1</v>
      </c>
      <c r="I214" s="22">
        <f t="shared" si="30"/>
        <v>0</v>
      </c>
      <c r="J214" s="18">
        <f t="shared" si="31"/>
        <v>0</v>
      </c>
      <c r="K214" s="18">
        <f t="shared" si="36"/>
        <v>0</v>
      </c>
      <c r="L214" s="27">
        <v>1</v>
      </c>
      <c r="M214" s="27">
        <f t="shared" si="35"/>
        <v>0</v>
      </c>
    </row>
    <row r="215" spans="1:13" ht="14" thickBot="1">
      <c r="A215" s="29" t="s">
        <v>198</v>
      </c>
      <c r="B215" s="35"/>
      <c r="C215" s="10"/>
      <c r="D215" s="20">
        <v>75</v>
      </c>
      <c r="E215" s="10" t="s">
        <v>1</v>
      </c>
      <c r="F215" s="21">
        <f t="shared" si="29"/>
        <v>0</v>
      </c>
      <c r="G215" s="22">
        <v>3</v>
      </c>
      <c r="H215" s="10" t="s">
        <v>1</v>
      </c>
      <c r="I215" s="22">
        <f t="shared" si="30"/>
        <v>0</v>
      </c>
      <c r="J215" s="18">
        <f t="shared" si="31"/>
        <v>0</v>
      </c>
      <c r="K215" s="18">
        <f t="shared" si="36"/>
        <v>0</v>
      </c>
      <c r="L215" s="27">
        <v>1</v>
      </c>
      <c r="M215" s="27">
        <f t="shared" si="35"/>
        <v>0</v>
      </c>
    </row>
    <row r="216" spans="1:13" ht="14" thickBot="1">
      <c r="A216" s="29" t="s">
        <v>199</v>
      </c>
      <c r="B216" s="35"/>
      <c r="C216" s="10"/>
      <c r="D216" s="20">
        <v>50</v>
      </c>
      <c r="E216" s="10" t="s">
        <v>1</v>
      </c>
      <c r="F216" s="21">
        <f t="shared" si="29"/>
        <v>0</v>
      </c>
      <c r="G216" s="22">
        <v>2</v>
      </c>
      <c r="H216" s="10" t="s">
        <v>1</v>
      </c>
      <c r="I216" s="22">
        <f t="shared" si="30"/>
        <v>0</v>
      </c>
      <c r="J216" s="18">
        <f t="shared" si="31"/>
        <v>0</v>
      </c>
      <c r="K216" s="18">
        <f t="shared" si="36"/>
        <v>0</v>
      </c>
      <c r="L216" s="27">
        <v>1</v>
      </c>
      <c r="M216" s="27">
        <f t="shared" si="35"/>
        <v>0</v>
      </c>
    </row>
    <row r="217" spans="1:13" ht="14" thickBot="1">
      <c r="A217" s="31" t="s">
        <v>66</v>
      </c>
      <c r="B217" s="35"/>
      <c r="C217" s="10"/>
      <c r="D217" s="20">
        <v>185</v>
      </c>
      <c r="E217" s="10" t="s">
        <v>1</v>
      </c>
      <c r="F217" s="21">
        <f t="shared" si="29"/>
        <v>0</v>
      </c>
      <c r="G217" s="22">
        <v>3</v>
      </c>
      <c r="H217" s="10" t="s">
        <v>1</v>
      </c>
      <c r="I217" s="22">
        <f t="shared" si="30"/>
        <v>0</v>
      </c>
      <c r="J217" s="18">
        <f t="shared" si="31"/>
        <v>0</v>
      </c>
      <c r="K217" s="18">
        <f t="shared" si="36"/>
        <v>0</v>
      </c>
      <c r="L217" s="27">
        <v>1</v>
      </c>
      <c r="M217" s="27">
        <f>L217*C217</f>
        <v>0</v>
      </c>
    </row>
    <row r="218" spans="1:13" ht="14" thickBot="1">
      <c r="A218" s="31" t="s">
        <v>67</v>
      </c>
      <c r="B218" s="35"/>
      <c r="C218" s="10"/>
      <c r="D218" s="20">
        <v>50</v>
      </c>
      <c r="E218" s="10" t="s">
        <v>1</v>
      </c>
      <c r="F218" s="21">
        <f t="shared" si="29"/>
        <v>0</v>
      </c>
      <c r="G218" s="22">
        <v>3</v>
      </c>
      <c r="H218" s="10" t="s">
        <v>1</v>
      </c>
      <c r="I218" s="22">
        <f t="shared" si="30"/>
        <v>0</v>
      </c>
      <c r="J218" s="18">
        <f t="shared" si="31"/>
        <v>0</v>
      </c>
      <c r="K218" s="18">
        <f t="shared" si="36"/>
        <v>0</v>
      </c>
      <c r="L218" s="71" t="s">
        <v>172</v>
      </c>
      <c r="M218" s="72">
        <f>SUM(M193:M217)</f>
        <v>0</v>
      </c>
    </row>
    <row r="219" spans="1:13" ht="14" thickBot="1">
      <c r="A219" s="31" t="s">
        <v>88</v>
      </c>
      <c r="B219" s="35"/>
      <c r="C219" s="10"/>
      <c r="D219" s="20">
        <v>25</v>
      </c>
      <c r="E219" s="10" t="s">
        <v>1</v>
      </c>
      <c r="F219" s="21">
        <f t="shared" si="29"/>
        <v>0</v>
      </c>
      <c r="G219" s="22">
        <v>1</v>
      </c>
      <c r="H219" s="10" t="s">
        <v>1</v>
      </c>
      <c r="I219" s="22">
        <f t="shared" si="30"/>
        <v>0</v>
      </c>
      <c r="J219" s="18">
        <f t="shared" si="31"/>
        <v>0</v>
      </c>
      <c r="K219" s="18">
        <f t="shared" si="36"/>
        <v>0</v>
      </c>
      <c r="L219" s="70">
        <v>0.05</v>
      </c>
      <c r="M219" s="27">
        <f>M218*L219</f>
        <v>0</v>
      </c>
    </row>
    <row r="220" spans="1:13" ht="14" thickBot="1">
      <c r="A220" s="31" t="s">
        <v>89</v>
      </c>
      <c r="B220" s="35"/>
      <c r="C220" s="10"/>
      <c r="D220" s="20">
        <v>25</v>
      </c>
      <c r="E220" s="10" t="s">
        <v>1</v>
      </c>
      <c r="F220" s="21">
        <f t="shared" si="29"/>
        <v>0</v>
      </c>
      <c r="G220" s="22">
        <v>1.5</v>
      </c>
      <c r="H220" s="10" t="s">
        <v>1</v>
      </c>
      <c r="I220" s="22">
        <f t="shared" si="30"/>
        <v>0</v>
      </c>
      <c r="J220" s="18">
        <f t="shared" si="31"/>
        <v>0</v>
      </c>
      <c r="K220" s="18">
        <f t="shared" si="36"/>
        <v>0</v>
      </c>
      <c r="L220" s="73" t="s">
        <v>16</v>
      </c>
      <c r="M220" s="74">
        <f>M219+M218</f>
        <v>0</v>
      </c>
    </row>
    <row r="221" spans="1:13" ht="14" thickBot="1">
      <c r="A221" s="31" t="s">
        <v>166</v>
      </c>
      <c r="B221" s="35"/>
      <c r="C221" s="10"/>
      <c r="D221" s="20">
        <v>65</v>
      </c>
      <c r="E221" s="10" t="s">
        <v>1</v>
      </c>
      <c r="F221" s="21">
        <f t="shared" ref="F221:F229" si="37">+D221*C221</f>
        <v>0</v>
      </c>
      <c r="G221" s="22">
        <v>1.25</v>
      </c>
      <c r="H221" s="10" t="s">
        <v>1</v>
      </c>
      <c r="I221" s="22">
        <f t="shared" ref="I221:I229" si="38">+G221*C221</f>
        <v>0</v>
      </c>
      <c r="J221" s="18">
        <f t="shared" si="31"/>
        <v>0</v>
      </c>
      <c r="K221" s="18">
        <f t="shared" si="36"/>
        <v>0</v>
      </c>
    </row>
    <row r="222" spans="1:13" ht="14" thickBot="1">
      <c r="A222" s="31" t="s">
        <v>167</v>
      </c>
      <c r="B222" s="35"/>
      <c r="C222" s="10"/>
      <c r="D222" s="20">
        <v>140</v>
      </c>
      <c r="E222" s="10" t="s">
        <v>1</v>
      </c>
      <c r="F222" s="21">
        <f t="shared" si="37"/>
        <v>0</v>
      </c>
      <c r="G222" s="22">
        <v>1.5</v>
      </c>
      <c r="H222" s="10" t="s">
        <v>1</v>
      </c>
      <c r="I222" s="22">
        <f t="shared" si="38"/>
        <v>0</v>
      </c>
      <c r="J222" s="18">
        <f t="shared" si="31"/>
        <v>0</v>
      </c>
      <c r="K222" s="18">
        <f t="shared" si="36"/>
        <v>0</v>
      </c>
    </row>
    <row r="223" spans="1:13" ht="14" thickBot="1">
      <c r="A223" s="31" t="s">
        <v>149</v>
      </c>
      <c r="B223" s="35"/>
      <c r="C223" s="10"/>
      <c r="D223" s="20">
        <v>85</v>
      </c>
      <c r="E223" s="10" t="s">
        <v>1</v>
      </c>
      <c r="F223" s="21">
        <f t="shared" si="37"/>
        <v>0</v>
      </c>
      <c r="G223" s="22">
        <v>2</v>
      </c>
      <c r="H223" s="10" t="s">
        <v>1</v>
      </c>
      <c r="I223" s="22">
        <f t="shared" si="38"/>
        <v>0</v>
      </c>
      <c r="J223" s="18">
        <f t="shared" si="31"/>
        <v>0</v>
      </c>
      <c r="K223" s="18">
        <f t="shared" si="36"/>
        <v>0</v>
      </c>
    </row>
    <row r="224" spans="1:13" ht="14" thickBot="1">
      <c r="A224" s="29" t="s">
        <v>518</v>
      </c>
      <c r="B224" s="35"/>
      <c r="C224" s="10"/>
      <c r="D224" s="20">
        <v>55</v>
      </c>
      <c r="E224" s="10" t="s">
        <v>1</v>
      </c>
      <c r="F224" s="21">
        <f t="shared" si="37"/>
        <v>0</v>
      </c>
      <c r="G224" s="22">
        <v>0.5</v>
      </c>
      <c r="H224" s="10" t="s">
        <v>1</v>
      </c>
      <c r="I224" s="22">
        <f t="shared" si="38"/>
        <v>0</v>
      </c>
      <c r="J224" s="18">
        <f t="shared" si="31"/>
        <v>0</v>
      </c>
      <c r="K224" s="18">
        <f t="shared" ref="K224" si="39">IF(J224=0,0,J224/C224)</f>
        <v>0</v>
      </c>
    </row>
    <row r="225" spans="1:13" ht="14" thickBot="1">
      <c r="A225" s="29" t="s">
        <v>519</v>
      </c>
      <c r="B225" s="35"/>
      <c r="C225" s="10"/>
      <c r="D225" s="20">
        <v>55</v>
      </c>
      <c r="E225" s="10" t="s">
        <v>1</v>
      </c>
      <c r="F225" s="21">
        <f t="shared" si="37"/>
        <v>0</v>
      </c>
      <c r="G225" s="22">
        <v>0.5</v>
      </c>
      <c r="H225" s="10" t="s">
        <v>1</v>
      </c>
      <c r="I225" s="22">
        <f t="shared" si="38"/>
        <v>0</v>
      </c>
      <c r="J225" s="18">
        <f t="shared" si="31"/>
        <v>0</v>
      </c>
      <c r="K225" s="18">
        <f t="shared" ref="K225:K227" si="40">IF(J225=0,0,J225/C225)</f>
        <v>0</v>
      </c>
    </row>
    <row r="226" spans="1:13" ht="14" thickBot="1">
      <c r="A226" s="29" t="s">
        <v>502</v>
      </c>
      <c r="B226" s="35"/>
      <c r="C226" s="10"/>
      <c r="D226" s="20">
        <v>100</v>
      </c>
      <c r="E226" s="10" t="s">
        <v>1</v>
      </c>
      <c r="F226" s="21">
        <f t="shared" si="37"/>
        <v>0</v>
      </c>
      <c r="G226" s="22">
        <v>0.5</v>
      </c>
      <c r="H226" s="10" t="s">
        <v>1</v>
      </c>
      <c r="I226" s="22">
        <f t="shared" si="38"/>
        <v>0</v>
      </c>
      <c r="J226" s="18">
        <f t="shared" si="31"/>
        <v>0</v>
      </c>
      <c r="K226" s="18">
        <f t="shared" si="40"/>
        <v>0</v>
      </c>
    </row>
    <row r="227" spans="1:13" ht="14" thickBot="1">
      <c r="A227" s="29" t="s">
        <v>503</v>
      </c>
      <c r="B227" s="35"/>
      <c r="C227" s="10"/>
      <c r="D227" s="20">
        <v>100</v>
      </c>
      <c r="E227" s="10" t="s">
        <v>1</v>
      </c>
      <c r="F227" s="21">
        <f t="shared" si="37"/>
        <v>0</v>
      </c>
      <c r="G227" s="22">
        <v>0.5</v>
      </c>
      <c r="H227" s="10" t="s">
        <v>1</v>
      </c>
      <c r="I227" s="22">
        <f t="shared" si="38"/>
        <v>0</v>
      </c>
      <c r="J227" s="18">
        <f t="shared" si="31"/>
        <v>0</v>
      </c>
      <c r="K227" s="18">
        <f t="shared" si="40"/>
        <v>0</v>
      </c>
    </row>
    <row r="228" spans="1:13" ht="14" thickBot="1">
      <c r="A228" s="29" t="s">
        <v>504</v>
      </c>
      <c r="B228" s="35"/>
      <c r="C228" s="10"/>
      <c r="D228" s="20">
        <v>100</v>
      </c>
      <c r="E228" s="10" t="s">
        <v>1</v>
      </c>
      <c r="F228" s="21">
        <f t="shared" si="37"/>
        <v>0</v>
      </c>
      <c r="G228" s="22">
        <v>0.5</v>
      </c>
      <c r="H228" s="10" t="s">
        <v>1</v>
      </c>
      <c r="I228" s="22">
        <f t="shared" si="38"/>
        <v>0</v>
      </c>
      <c r="J228" s="18">
        <f t="shared" si="31"/>
        <v>0</v>
      </c>
      <c r="K228" s="18">
        <f t="shared" ref="K228" si="41">IF(J228=0,0,J228/C228)</f>
        <v>0</v>
      </c>
    </row>
    <row r="229" spans="1:13" ht="14" thickBot="1">
      <c r="A229" s="29" t="s">
        <v>210</v>
      </c>
      <c r="B229" s="35"/>
      <c r="C229" s="10"/>
      <c r="D229" s="20">
        <v>1200</v>
      </c>
      <c r="E229" s="10" t="s">
        <v>1</v>
      </c>
      <c r="F229" s="21">
        <f t="shared" si="37"/>
        <v>0</v>
      </c>
      <c r="G229" s="22">
        <v>6</v>
      </c>
      <c r="H229" s="10" t="s">
        <v>1</v>
      </c>
      <c r="I229" s="22">
        <f t="shared" si="38"/>
        <v>0</v>
      </c>
      <c r="J229" s="18">
        <f t="shared" si="31"/>
        <v>0</v>
      </c>
      <c r="K229" s="18">
        <f t="shared" si="36"/>
        <v>0</v>
      </c>
    </row>
    <row r="230" spans="1:13" ht="14" thickBot="1">
      <c r="A230" s="29" t="s">
        <v>520</v>
      </c>
      <c r="B230" s="35"/>
      <c r="C230" s="10"/>
      <c r="D230" s="20">
        <v>200</v>
      </c>
      <c r="E230" s="10" t="s">
        <v>1</v>
      </c>
      <c r="F230" s="21">
        <f t="shared" si="29"/>
        <v>0</v>
      </c>
      <c r="G230" s="22">
        <v>2</v>
      </c>
      <c r="H230" s="10" t="s">
        <v>1</v>
      </c>
      <c r="I230" s="22">
        <f t="shared" si="30"/>
        <v>0</v>
      </c>
      <c r="J230" s="18">
        <f t="shared" si="31"/>
        <v>0</v>
      </c>
      <c r="K230" s="18">
        <f t="shared" si="36"/>
        <v>0</v>
      </c>
    </row>
    <row r="231" spans="1:13" ht="14" thickBot="1">
      <c r="A231" s="31"/>
      <c r="B231" s="35"/>
      <c r="C231" s="10"/>
      <c r="D231" s="20"/>
      <c r="E231" s="10"/>
      <c r="F231" s="21"/>
      <c r="G231" s="22"/>
      <c r="H231" s="10"/>
      <c r="I231" s="22"/>
      <c r="J231" s="18"/>
      <c r="K231" s="18"/>
    </row>
    <row r="232" spans="1:13" ht="14" thickBot="1">
      <c r="A232" s="30" t="s">
        <v>58</v>
      </c>
      <c r="B232" s="38">
        <f>SUM(J233:J247)</f>
        <v>0</v>
      </c>
      <c r="C232" s="10"/>
      <c r="D232" s="20"/>
      <c r="E232" s="10"/>
      <c r="F232" s="21"/>
      <c r="G232" s="22"/>
      <c r="H232" s="10"/>
      <c r="I232" s="22"/>
      <c r="J232" s="18"/>
      <c r="K232" s="18"/>
    </row>
    <row r="233" spans="1:13" ht="14" thickBot="1">
      <c r="A233" s="31" t="s">
        <v>171</v>
      </c>
      <c r="B233" s="35"/>
      <c r="C233" s="10">
        <v>1</v>
      </c>
      <c r="D233" s="20">
        <f>M244</f>
        <v>0</v>
      </c>
      <c r="E233" s="10" t="s">
        <v>1</v>
      </c>
      <c r="F233" s="21">
        <f t="shared" ref="F233:F241" si="42">+D233*C233</f>
        <v>0</v>
      </c>
      <c r="G233" s="22">
        <v>0</v>
      </c>
      <c r="H233" s="10" t="s">
        <v>1</v>
      </c>
      <c r="I233" s="22">
        <f t="shared" ref="I233:I241" si="43">+G233*C233</f>
        <v>0</v>
      </c>
      <c r="J233" s="18">
        <f t="shared" ref="J233:J246" si="44">+(((I233*$I$323)+(F233*(1+$E$323)))*(1+$C$329))</f>
        <v>0</v>
      </c>
      <c r="K233" s="18">
        <f t="shared" si="36"/>
        <v>0</v>
      </c>
    </row>
    <row r="234" spans="1:13" ht="14" thickBot="1">
      <c r="A234" s="29" t="s">
        <v>450</v>
      </c>
      <c r="B234" s="35"/>
      <c r="C234" s="10"/>
      <c r="D234" s="176">
        <v>250</v>
      </c>
      <c r="E234" s="177" t="s">
        <v>1</v>
      </c>
      <c r="F234" s="178">
        <f t="shared" ref="F234:F239" si="45">+D234*C234</f>
        <v>0</v>
      </c>
      <c r="G234" s="179">
        <v>6</v>
      </c>
      <c r="H234" s="177" t="s">
        <v>1</v>
      </c>
      <c r="I234" s="179">
        <f t="shared" ref="I234:I239" si="46">+G234*C234</f>
        <v>0</v>
      </c>
      <c r="J234" s="18">
        <f t="shared" si="44"/>
        <v>0</v>
      </c>
      <c r="K234" s="18">
        <f t="shared" ref="K234:K239" si="47">IF(J234=0,0,J234/C234)</f>
        <v>0</v>
      </c>
      <c r="L234" s="27">
        <v>800</v>
      </c>
      <c r="M234" s="27">
        <f t="shared" ref="M234:M239" si="48">L234*C234</f>
        <v>0</v>
      </c>
    </row>
    <row r="235" spans="1:13" ht="14" thickBot="1">
      <c r="A235" s="29" t="s">
        <v>451</v>
      </c>
      <c r="B235" s="35"/>
      <c r="C235" s="10"/>
      <c r="D235" s="176">
        <v>200</v>
      </c>
      <c r="E235" s="177" t="s">
        <v>1</v>
      </c>
      <c r="F235" s="178">
        <f t="shared" si="45"/>
        <v>0</v>
      </c>
      <c r="G235" s="179">
        <v>4</v>
      </c>
      <c r="H235" s="177" t="s">
        <v>1</v>
      </c>
      <c r="I235" s="179">
        <f t="shared" si="46"/>
        <v>0</v>
      </c>
      <c r="J235" s="18">
        <f t="shared" si="44"/>
        <v>0</v>
      </c>
      <c r="K235" s="18">
        <f t="shared" si="47"/>
        <v>0</v>
      </c>
      <c r="L235" s="27">
        <v>200</v>
      </c>
      <c r="M235" s="27">
        <f t="shared" si="48"/>
        <v>0</v>
      </c>
    </row>
    <row r="236" spans="1:13" ht="14" thickBot="1">
      <c r="A236" s="29" t="s">
        <v>452</v>
      </c>
      <c r="B236" s="35"/>
      <c r="C236" s="10"/>
      <c r="D236" s="176">
        <v>200</v>
      </c>
      <c r="E236" s="177" t="s">
        <v>1</v>
      </c>
      <c r="F236" s="178">
        <f t="shared" si="45"/>
        <v>0</v>
      </c>
      <c r="G236" s="179">
        <v>8</v>
      </c>
      <c r="H236" s="177" t="s">
        <v>1</v>
      </c>
      <c r="I236" s="179">
        <f t="shared" si="46"/>
        <v>0</v>
      </c>
      <c r="J236" s="18">
        <f t="shared" si="44"/>
        <v>0</v>
      </c>
      <c r="K236" s="18">
        <f t="shared" si="47"/>
        <v>0</v>
      </c>
      <c r="L236" s="27">
        <v>1400</v>
      </c>
      <c r="M236" s="27">
        <f t="shared" si="48"/>
        <v>0</v>
      </c>
    </row>
    <row r="237" spans="1:13" ht="14" thickBot="1">
      <c r="A237" s="29" t="s">
        <v>453</v>
      </c>
      <c r="B237" s="35"/>
      <c r="C237" s="10"/>
      <c r="D237" s="176">
        <v>300</v>
      </c>
      <c r="E237" s="177" t="s">
        <v>1</v>
      </c>
      <c r="F237" s="178">
        <f t="shared" si="45"/>
        <v>0</v>
      </c>
      <c r="G237" s="179">
        <v>10</v>
      </c>
      <c r="H237" s="177" t="s">
        <v>1</v>
      </c>
      <c r="I237" s="179">
        <f t="shared" si="46"/>
        <v>0</v>
      </c>
      <c r="J237" s="18">
        <f t="shared" si="44"/>
        <v>0</v>
      </c>
      <c r="K237" s="18">
        <f t="shared" si="47"/>
        <v>0</v>
      </c>
      <c r="L237" s="27">
        <v>2250</v>
      </c>
      <c r="M237" s="27">
        <f t="shared" si="48"/>
        <v>0</v>
      </c>
    </row>
    <row r="238" spans="1:13" ht="14" thickBot="1">
      <c r="A238" s="29" t="s">
        <v>454</v>
      </c>
      <c r="B238" s="35"/>
      <c r="C238" s="10"/>
      <c r="D238" s="176">
        <v>400</v>
      </c>
      <c r="E238" s="177" t="s">
        <v>1</v>
      </c>
      <c r="F238" s="178">
        <f t="shared" si="45"/>
        <v>0</v>
      </c>
      <c r="G238" s="179">
        <v>12</v>
      </c>
      <c r="H238" s="177" t="s">
        <v>1</v>
      </c>
      <c r="I238" s="179">
        <f t="shared" si="46"/>
        <v>0</v>
      </c>
      <c r="J238" s="18">
        <f t="shared" si="44"/>
        <v>0</v>
      </c>
      <c r="K238" s="18">
        <f t="shared" si="47"/>
        <v>0</v>
      </c>
      <c r="L238" s="27">
        <v>3100</v>
      </c>
      <c r="M238" s="27">
        <f t="shared" si="48"/>
        <v>0</v>
      </c>
    </row>
    <row r="239" spans="1:13" ht="14" thickBot="1">
      <c r="A239" s="29" t="s">
        <v>455</v>
      </c>
      <c r="B239" s="35"/>
      <c r="C239" s="10"/>
      <c r="D239" s="176">
        <v>500</v>
      </c>
      <c r="E239" s="177" t="s">
        <v>1</v>
      </c>
      <c r="F239" s="178">
        <f t="shared" si="45"/>
        <v>0</v>
      </c>
      <c r="G239" s="179">
        <v>14</v>
      </c>
      <c r="H239" s="177" t="s">
        <v>1</v>
      </c>
      <c r="I239" s="179">
        <f t="shared" si="46"/>
        <v>0</v>
      </c>
      <c r="J239" s="18">
        <f t="shared" si="44"/>
        <v>0</v>
      </c>
      <c r="K239" s="18">
        <f t="shared" si="47"/>
        <v>0</v>
      </c>
      <c r="L239" s="27">
        <v>3950</v>
      </c>
      <c r="M239" s="27">
        <f t="shared" si="48"/>
        <v>0</v>
      </c>
    </row>
    <row r="240" spans="1:13" ht="14" thickBot="1">
      <c r="A240" s="31" t="s">
        <v>120</v>
      </c>
      <c r="B240" s="35"/>
      <c r="C240" s="10"/>
      <c r="D240" s="176">
        <v>200</v>
      </c>
      <c r="E240" s="177" t="s">
        <v>1</v>
      </c>
      <c r="F240" s="178">
        <f t="shared" si="42"/>
        <v>0</v>
      </c>
      <c r="G240" s="179">
        <v>8</v>
      </c>
      <c r="H240" s="177" t="s">
        <v>1</v>
      </c>
      <c r="I240" s="179">
        <f t="shared" si="43"/>
        <v>0</v>
      </c>
      <c r="J240" s="18">
        <f t="shared" si="44"/>
        <v>0</v>
      </c>
      <c r="K240" s="18">
        <f t="shared" si="36"/>
        <v>0</v>
      </c>
      <c r="L240" s="27">
        <v>400</v>
      </c>
      <c r="M240" s="27">
        <f t="shared" ref="M240:M241" si="49">L240*C240</f>
        <v>0</v>
      </c>
    </row>
    <row r="241" spans="1:13" ht="14" thickBot="1">
      <c r="A241" s="31" t="s">
        <v>114</v>
      </c>
      <c r="B241" s="35"/>
      <c r="C241" s="10"/>
      <c r="D241" s="176">
        <v>200</v>
      </c>
      <c r="E241" s="177" t="s">
        <v>1</v>
      </c>
      <c r="F241" s="178">
        <f t="shared" si="42"/>
        <v>0</v>
      </c>
      <c r="G241" s="179">
        <v>8</v>
      </c>
      <c r="H241" s="177" t="s">
        <v>1</v>
      </c>
      <c r="I241" s="179">
        <f t="shared" si="43"/>
        <v>0</v>
      </c>
      <c r="J241" s="18">
        <f t="shared" si="44"/>
        <v>0</v>
      </c>
      <c r="K241" s="18">
        <f t="shared" si="36"/>
        <v>0</v>
      </c>
      <c r="L241" s="27">
        <v>350</v>
      </c>
      <c r="M241" s="27">
        <f t="shared" si="49"/>
        <v>0</v>
      </c>
    </row>
    <row r="242" spans="1:13" ht="14" thickBot="1">
      <c r="A242" s="31"/>
      <c r="B242" s="35" t="s">
        <v>448</v>
      </c>
      <c r="C242" s="10"/>
      <c r="D242" s="176">
        <v>750</v>
      </c>
      <c r="E242" s="177" t="s">
        <v>1</v>
      </c>
      <c r="F242" s="178">
        <f>+D242*C242</f>
        <v>0</v>
      </c>
      <c r="G242" s="179">
        <v>8</v>
      </c>
      <c r="H242" s="177" t="s">
        <v>1</v>
      </c>
      <c r="I242" s="179">
        <f>+G242*C242</f>
        <v>0</v>
      </c>
      <c r="J242" s="18">
        <f t="shared" si="44"/>
        <v>0</v>
      </c>
      <c r="K242" s="18">
        <f>IF(J242=0,0,J242/C242)</f>
        <v>0</v>
      </c>
      <c r="L242" s="71" t="s">
        <v>172</v>
      </c>
      <c r="M242" s="72">
        <f>SUM(M234:M241)</f>
        <v>0</v>
      </c>
    </row>
    <row r="243" spans="1:13" ht="14" thickBot="1">
      <c r="A243" s="31"/>
      <c r="B243" s="35" t="s">
        <v>230</v>
      </c>
      <c r="C243" s="10"/>
      <c r="D243" s="176">
        <v>5</v>
      </c>
      <c r="E243" s="177" t="s">
        <v>1</v>
      </c>
      <c r="F243" s="178">
        <f>+D243*C243</f>
        <v>0</v>
      </c>
      <c r="G243" s="179">
        <v>8</v>
      </c>
      <c r="H243" s="177" t="s">
        <v>0</v>
      </c>
      <c r="I243" s="179">
        <f>+(G243*C243)/100</f>
        <v>0</v>
      </c>
      <c r="J243" s="18">
        <f t="shared" si="44"/>
        <v>0</v>
      </c>
      <c r="K243" s="18">
        <f>IF(J243=0,0,J243/C243)</f>
        <v>0</v>
      </c>
      <c r="L243" s="70">
        <v>0.05</v>
      </c>
      <c r="M243" s="27">
        <f>M242*L243</f>
        <v>0</v>
      </c>
    </row>
    <row r="244" spans="1:13" ht="14" thickBot="1">
      <c r="A244" s="31"/>
      <c r="B244" s="35" t="s">
        <v>449</v>
      </c>
      <c r="C244" s="10"/>
      <c r="D244" s="176">
        <f>(FEEDERS!$D$86*3+FEEDERS!$D$84)/10+FEEDERS!$D$12</f>
        <v>619.22</v>
      </c>
      <c r="E244" s="177" t="s">
        <v>0</v>
      </c>
      <c r="F244" s="178">
        <f>+(D244*C244)/100</f>
        <v>0</v>
      </c>
      <c r="G244" s="179">
        <f>(FEEDERS!$G$86*3+FEEDERS!$G$84)/10+FEEDERS!$G$12</f>
        <v>9.6379999999999999</v>
      </c>
      <c r="H244" s="177" t="s">
        <v>0</v>
      </c>
      <c r="I244" s="179">
        <f>+(G244*C244)/100</f>
        <v>0</v>
      </c>
      <c r="J244" s="18">
        <f t="shared" si="44"/>
        <v>0</v>
      </c>
      <c r="K244" s="18">
        <f>IF(J244=0,0,J244/C244)</f>
        <v>0</v>
      </c>
      <c r="L244" s="73" t="s">
        <v>16</v>
      </c>
      <c r="M244" s="74">
        <f>M243+M242</f>
        <v>0</v>
      </c>
    </row>
    <row r="245" spans="1:13" ht="14" thickBot="1">
      <c r="A245" s="31" t="s">
        <v>115</v>
      </c>
      <c r="B245" s="35"/>
      <c r="C245" s="10"/>
      <c r="D245" s="176">
        <v>1200</v>
      </c>
      <c r="E245" s="177" t="s">
        <v>1</v>
      </c>
      <c r="F245" s="178">
        <f>+D245*C245</f>
        <v>0</v>
      </c>
      <c r="G245" s="179">
        <v>15</v>
      </c>
      <c r="H245" s="177" t="s">
        <v>1</v>
      </c>
      <c r="I245" s="179">
        <f>+G245*C245</f>
        <v>0</v>
      </c>
      <c r="J245" s="18">
        <f t="shared" si="44"/>
        <v>0</v>
      </c>
      <c r="K245" s="18">
        <f>IF(J245=0,0,J245/C245)</f>
        <v>0</v>
      </c>
      <c r="L245" s="172"/>
      <c r="M245" s="27"/>
    </row>
    <row r="246" spans="1:13" ht="14" thickBot="1">
      <c r="A246" s="31" t="s">
        <v>59</v>
      </c>
      <c r="B246" s="35"/>
      <c r="C246" s="10"/>
      <c r="D246" s="176">
        <v>750</v>
      </c>
      <c r="E246" s="177" t="s">
        <v>1</v>
      </c>
      <c r="F246" s="178">
        <f>+D246*C246</f>
        <v>0</v>
      </c>
      <c r="G246" s="179">
        <v>4</v>
      </c>
      <c r="H246" s="177" t="s">
        <v>1</v>
      </c>
      <c r="I246" s="179">
        <f>+G246*C246</f>
        <v>0</v>
      </c>
      <c r="J246" s="18">
        <f t="shared" si="44"/>
        <v>0</v>
      </c>
      <c r="K246" s="18">
        <f>IF(J246=0,0,J246/C246)</f>
        <v>0</v>
      </c>
      <c r="L246" s="70"/>
      <c r="M246" s="27"/>
    </row>
    <row r="247" spans="1:13" ht="14" thickBot="1">
      <c r="A247" s="31"/>
      <c r="B247" s="35"/>
      <c r="C247" s="10"/>
      <c r="D247" s="20"/>
      <c r="E247" s="10"/>
      <c r="F247" s="21"/>
      <c r="G247" s="22"/>
      <c r="H247" s="10"/>
      <c r="I247" s="22"/>
      <c r="J247" s="18"/>
      <c r="K247" s="18"/>
      <c r="L247" s="172"/>
      <c r="M247" s="27"/>
    </row>
    <row r="248" spans="1:13" ht="14" thickBot="1">
      <c r="A248" s="30" t="s">
        <v>35</v>
      </c>
      <c r="B248" s="38">
        <f>SUM(J249:J285)</f>
        <v>0</v>
      </c>
      <c r="C248" s="10"/>
      <c r="D248" s="20"/>
      <c r="E248" s="10"/>
      <c r="F248" s="21"/>
      <c r="G248" s="22"/>
      <c r="H248" s="10"/>
      <c r="I248" s="22"/>
      <c r="J248" s="18"/>
      <c r="K248" s="18"/>
    </row>
    <row r="249" spans="1:13" ht="14" thickBot="1">
      <c r="A249" s="31" t="s">
        <v>62</v>
      </c>
      <c r="B249" s="38"/>
      <c r="C249" s="10"/>
      <c r="D249" s="20">
        <v>110</v>
      </c>
      <c r="E249" s="10" t="s">
        <v>1</v>
      </c>
      <c r="F249" s="21">
        <f t="shared" ref="F249:F284" si="50">+D249*C249</f>
        <v>0</v>
      </c>
      <c r="G249" s="22">
        <v>4.5</v>
      </c>
      <c r="H249" s="10" t="s">
        <v>1</v>
      </c>
      <c r="I249" s="22">
        <f t="shared" ref="I249:I284" si="51">+G249*C249</f>
        <v>0</v>
      </c>
      <c r="J249" s="18">
        <f t="shared" ref="J249:J284" si="52">+(((I249*$I$323)+(F249*(1+$E$323)))*(1+$C$329))</f>
        <v>0</v>
      </c>
      <c r="K249" s="18">
        <f t="shared" si="36"/>
        <v>0</v>
      </c>
    </row>
    <row r="250" spans="1:13" ht="14" thickBot="1">
      <c r="A250" s="31" t="s">
        <v>131</v>
      </c>
      <c r="B250" s="38"/>
      <c r="C250" s="10"/>
      <c r="D250" s="20">
        <v>75</v>
      </c>
      <c r="E250" s="10" t="s">
        <v>1</v>
      </c>
      <c r="F250" s="21">
        <f t="shared" si="50"/>
        <v>0</v>
      </c>
      <c r="G250" s="22">
        <v>4</v>
      </c>
      <c r="H250" s="10" t="s">
        <v>1</v>
      </c>
      <c r="I250" s="22">
        <f t="shared" si="51"/>
        <v>0</v>
      </c>
      <c r="J250" s="18">
        <f t="shared" si="52"/>
        <v>0</v>
      </c>
      <c r="K250" s="18">
        <f t="shared" si="36"/>
        <v>0</v>
      </c>
    </row>
    <row r="251" spans="1:13" ht="14" thickBot="1">
      <c r="A251" s="29" t="s">
        <v>539</v>
      </c>
      <c r="B251" s="38"/>
      <c r="C251" s="10"/>
      <c r="D251" s="20">
        <v>85</v>
      </c>
      <c r="E251" s="10" t="s">
        <v>1</v>
      </c>
      <c r="F251" s="21">
        <f t="shared" si="50"/>
        <v>0</v>
      </c>
      <c r="G251" s="22">
        <v>4</v>
      </c>
      <c r="H251" s="10" t="s">
        <v>1</v>
      </c>
      <c r="I251" s="22">
        <f t="shared" si="51"/>
        <v>0</v>
      </c>
      <c r="J251" s="18">
        <f t="shared" si="52"/>
        <v>0</v>
      </c>
      <c r="K251" s="18">
        <f t="shared" si="36"/>
        <v>0</v>
      </c>
    </row>
    <row r="252" spans="1:13" ht="14" thickBot="1">
      <c r="A252" s="31" t="s">
        <v>65</v>
      </c>
      <c r="B252" s="38"/>
      <c r="C252" s="10"/>
      <c r="D252" s="20">
        <v>85</v>
      </c>
      <c r="E252" s="10" t="s">
        <v>1</v>
      </c>
      <c r="F252" s="21">
        <f t="shared" si="50"/>
        <v>0</v>
      </c>
      <c r="G252" s="22">
        <v>4</v>
      </c>
      <c r="H252" s="10" t="s">
        <v>1</v>
      </c>
      <c r="I252" s="22">
        <f t="shared" si="51"/>
        <v>0</v>
      </c>
      <c r="J252" s="18">
        <f t="shared" si="52"/>
        <v>0</v>
      </c>
      <c r="K252" s="18">
        <f t="shared" si="36"/>
        <v>0</v>
      </c>
    </row>
    <row r="253" spans="1:13" ht="14" thickBot="1">
      <c r="A253" s="31" t="s">
        <v>68</v>
      </c>
      <c r="B253" s="38"/>
      <c r="C253" s="10"/>
      <c r="D253" s="20">
        <v>95</v>
      </c>
      <c r="E253" s="10" t="s">
        <v>1</v>
      </c>
      <c r="F253" s="21">
        <f t="shared" ref="F253" si="53">+D253*C253</f>
        <v>0</v>
      </c>
      <c r="G253" s="22">
        <v>4</v>
      </c>
      <c r="H253" s="10" t="s">
        <v>1</v>
      </c>
      <c r="I253" s="22">
        <f t="shared" ref="I253" si="54">+G253*C253</f>
        <v>0</v>
      </c>
      <c r="J253" s="18">
        <f t="shared" si="52"/>
        <v>0</v>
      </c>
      <c r="K253" s="18">
        <f t="shared" si="36"/>
        <v>0</v>
      </c>
    </row>
    <row r="254" spans="1:13" ht="14" thickBot="1">
      <c r="A254" s="31" t="s">
        <v>154</v>
      </c>
      <c r="B254" s="38"/>
      <c r="C254" s="10"/>
      <c r="D254" s="20">
        <v>125</v>
      </c>
      <c r="E254" s="10" t="s">
        <v>1</v>
      </c>
      <c r="F254" s="21">
        <f t="shared" si="50"/>
        <v>0</v>
      </c>
      <c r="G254" s="22">
        <v>4</v>
      </c>
      <c r="H254" s="10" t="s">
        <v>1</v>
      </c>
      <c r="I254" s="22">
        <f t="shared" si="51"/>
        <v>0</v>
      </c>
      <c r="J254" s="18">
        <f t="shared" si="52"/>
        <v>0</v>
      </c>
      <c r="K254" s="18">
        <f t="shared" si="36"/>
        <v>0</v>
      </c>
    </row>
    <row r="255" spans="1:13" ht="14" thickBot="1">
      <c r="A255" s="29" t="s">
        <v>189</v>
      </c>
      <c r="B255" s="38"/>
      <c r="C255" s="10"/>
      <c r="D255" s="176">
        <v>60</v>
      </c>
      <c r="E255" s="177" t="s">
        <v>1</v>
      </c>
      <c r="F255" s="178">
        <f t="shared" si="50"/>
        <v>0</v>
      </c>
      <c r="G255" s="179">
        <v>1.3</v>
      </c>
      <c r="H255" s="177" t="s">
        <v>1</v>
      </c>
      <c r="I255" s="179">
        <f t="shared" si="51"/>
        <v>0</v>
      </c>
      <c r="J255" s="18">
        <f t="shared" si="52"/>
        <v>0</v>
      </c>
      <c r="K255" s="18">
        <f t="shared" si="36"/>
        <v>0</v>
      </c>
    </row>
    <row r="256" spans="1:13" ht="14" thickBot="1">
      <c r="A256" s="29" t="s">
        <v>190</v>
      </c>
      <c r="B256" s="38"/>
      <c r="C256" s="10"/>
      <c r="D256" s="176">
        <v>75</v>
      </c>
      <c r="E256" s="177" t="s">
        <v>1</v>
      </c>
      <c r="F256" s="178">
        <f t="shared" si="50"/>
        <v>0</v>
      </c>
      <c r="G256" s="179">
        <v>2</v>
      </c>
      <c r="H256" s="177" t="s">
        <v>1</v>
      </c>
      <c r="I256" s="179">
        <f t="shared" si="51"/>
        <v>0</v>
      </c>
      <c r="J256" s="18">
        <f t="shared" si="52"/>
        <v>0</v>
      </c>
      <c r="K256" s="18">
        <f t="shared" si="36"/>
        <v>0</v>
      </c>
    </row>
    <row r="257" spans="1:11" ht="14" thickBot="1">
      <c r="A257" s="29" t="s">
        <v>191</v>
      </c>
      <c r="B257" s="38"/>
      <c r="C257" s="10"/>
      <c r="D257" s="176">
        <v>70</v>
      </c>
      <c r="E257" s="177" t="s">
        <v>1</v>
      </c>
      <c r="F257" s="178">
        <f t="shared" si="50"/>
        <v>0</v>
      </c>
      <c r="G257" s="179">
        <v>1.5</v>
      </c>
      <c r="H257" s="177" t="s">
        <v>1</v>
      </c>
      <c r="I257" s="179">
        <f t="shared" si="51"/>
        <v>0</v>
      </c>
      <c r="J257" s="18">
        <f t="shared" si="52"/>
        <v>0</v>
      </c>
      <c r="K257" s="18">
        <f t="shared" si="36"/>
        <v>0</v>
      </c>
    </row>
    <row r="258" spans="1:11" ht="14" thickBot="1">
      <c r="A258" s="29" t="s">
        <v>193</v>
      </c>
      <c r="B258" s="38"/>
      <c r="C258" s="10"/>
      <c r="D258" s="176">
        <v>85</v>
      </c>
      <c r="E258" s="177" t="s">
        <v>1</v>
      </c>
      <c r="F258" s="178">
        <f t="shared" ref="F258" si="55">+D258*C258</f>
        <v>0</v>
      </c>
      <c r="G258" s="179">
        <v>2.25</v>
      </c>
      <c r="H258" s="177" t="s">
        <v>1</v>
      </c>
      <c r="I258" s="179">
        <f t="shared" ref="I258" si="56">+G258*C258</f>
        <v>0</v>
      </c>
      <c r="J258" s="18">
        <f t="shared" si="52"/>
        <v>0</v>
      </c>
      <c r="K258" s="18">
        <f t="shared" ref="K258" si="57">IF(J258=0,0,J258/C258)</f>
        <v>0</v>
      </c>
    </row>
    <row r="259" spans="1:11" ht="14" thickBot="1">
      <c r="A259" s="29" t="s">
        <v>196</v>
      </c>
      <c r="B259" s="38"/>
      <c r="C259" s="10"/>
      <c r="D259" s="176">
        <v>75</v>
      </c>
      <c r="E259" s="177" t="s">
        <v>1</v>
      </c>
      <c r="F259" s="178">
        <f t="shared" si="50"/>
        <v>0</v>
      </c>
      <c r="G259" s="179">
        <v>1.5</v>
      </c>
      <c r="H259" s="177" t="s">
        <v>1</v>
      </c>
      <c r="I259" s="179">
        <f t="shared" si="51"/>
        <v>0</v>
      </c>
      <c r="J259" s="18">
        <f t="shared" si="52"/>
        <v>0</v>
      </c>
      <c r="K259" s="18">
        <f t="shared" si="36"/>
        <v>0</v>
      </c>
    </row>
    <row r="260" spans="1:11" ht="14" thickBot="1">
      <c r="A260" s="29" t="s">
        <v>194</v>
      </c>
      <c r="B260" s="38"/>
      <c r="C260" s="10"/>
      <c r="D260" s="176">
        <v>85</v>
      </c>
      <c r="E260" s="177" t="s">
        <v>1</v>
      </c>
      <c r="F260" s="178">
        <f t="shared" ref="F260:F261" si="58">+D260*C260</f>
        <v>0</v>
      </c>
      <c r="G260" s="179">
        <v>2</v>
      </c>
      <c r="H260" s="177" t="s">
        <v>1</v>
      </c>
      <c r="I260" s="179">
        <f t="shared" ref="I260:I261" si="59">+G260*C260</f>
        <v>0</v>
      </c>
      <c r="J260" s="18">
        <f t="shared" si="52"/>
        <v>0</v>
      </c>
      <c r="K260" s="18">
        <f t="shared" ref="K260:K261" si="60">IF(J260=0,0,J260/C260)</f>
        <v>0</v>
      </c>
    </row>
    <row r="261" spans="1:11" ht="14" thickBot="1">
      <c r="A261" s="29" t="s">
        <v>192</v>
      </c>
      <c r="B261" s="38"/>
      <c r="C261" s="10"/>
      <c r="D261" s="176">
        <v>300</v>
      </c>
      <c r="E261" s="177" t="s">
        <v>1</v>
      </c>
      <c r="F261" s="178">
        <f t="shared" si="58"/>
        <v>0</v>
      </c>
      <c r="G261" s="179">
        <v>2.5</v>
      </c>
      <c r="H261" s="177" t="s">
        <v>1</v>
      </c>
      <c r="I261" s="179">
        <f t="shared" si="59"/>
        <v>0</v>
      </c>
      <c r="J261" s="18">
        <f t="shared" si="52"/>
        <v>0</v>
      </c>
      <c r="K261" s="18">
        <f t="shared" si="60"/>
        <v>0</v>
      </c>
    </row>
    <row r="262" spans="1:11" ht="14" thickBot="1">
      <c r="A262" s="29" t="s">
        <v>100</v>
      </c>
      <c r="B262" s="38"/>
      <c r="C262" s="10"/>
      <c r="D262" s="20">
        <v>450</v>
      </c>
      <c r="E262" s="10" t="s">
        <v>1</v>
      </c>
      <c r="F262" s="21">
        <f t="shared" si="50"/>
        <v>0</v>
      </c>
      <c r="G262" s="22">
        <v>4</v>
      </c>
      <c r="H262" s="10" t="s">
        <v>1</v>
      </c>
      <c r="I262" s="22">
        <f t="shared" si="51"/>
        <v>0</v>
      </c>
      <c r="J262" s="18">
        <f t="shared" si="52"/>
        <v>0</v>
      </c>
      <c r="K262" s="18">
        <f t="shared" si="36"/>
        <v>0</v>
      </c>
    </row>
    <row r="263" spans="1:11" ht="14" thickBot="1">
      <c r="A263" s="31" t="s">
        <v>101</v>
      </c>
      <c r="B263" s="38"/>
      <c r="C263" s="10"/>
      <c r="D263" s="20">
        <v>175</v>
      </c>
      <c r="E263" s="10" t="s">
        <v>1</v>
      </c>
      <c r="F263" s="21">
        <f t="shared" si="50"/>
        <v>0</v>
      </c>
      <c r="G263" s="22">
        <v>3.5</v>
      </c>
      <c r="H263" s="10" t="s">
        <v>1</v>
      </c>
      <c r="I263" s="22">
        <f t="shared" si="51"/>
        <v>0</v>
      </c>
      <c r="J263" s="18">
        <f t="shared" si="52"/>
        <v>0</v>
      </c>
      <c r="K263" s="18">
        <f t="shared" si="36"/>
        <v>0</v>
      </c>
    </row>
    <row r="264" spans="1:11" ht="14" thickBot="1">
      <c r="A264" s="31" t="s">
        <v>125</v>
      </c>
      <c r="B264" s="38"/>
      <c r="C264" s="10"/>
      <c r="D264" s="20">
        <v>60</v>
      </c>
      <c r="E264" s="10" t="s">
        <v>1</v>
      </c>
      <c r="F264" s="21">
        <f t="shared" si="50"/>
        <v>0</v>
      </c>
      <c r="G264" s="22">
        <v>2.25</v>
      </c>
      <c r="H264" s="10" t="s">
        <v>1</v>
      </c>
      <c r="I264" s="22">
        <f t="shared" si="51"/>
        <v>0</v>
      </c>
      <c r="J264" s="18">
        <f t="shared" si="52"/>
        <v>0</v>
      </c>
      <c r="K264" s="18">
        <f t="shared" si="36"/>
        <v>0</v>
      </c>
    </row>
    <row r="265" spans="1:11" ht="14" thickBot="1">
      <c r="A265" s="31" t="s">
        <v>127</v>
      </c>
      <c r="B265" s="38"/>
      <c r="C265" s="10"/>
      <c r="D265" s="20">
        <v>85</v>
      </c>
      <c r="E265" s="10" t="s">
        <v>1</v>
      </c>
      <c r="F265" s="21">
        <f t="shared" si="50"/>
        <v>0</v>
      </c>
      <c r="G265" s="22">
        <v>2.25</v>
      </c>
      <c r="H265" s="10" t="s">
        <v>1</v>
      </c>
      <c r="I265" s="22">
        <f t="shared" si="51"/>
        <v>0</v>
      </c>
      <c r="J265" s="18">
        <f t="shared" si="52"/>
        <v>0</v>
      </c>
      <c r="K265" s="18">
        <f t="shared" si="36"/>
        <v>0</v>
      </c>
    </row>
    <row r="266" spans="1:11" ht="14" thickBot="1">
      <c r="A266" s="31" t="s">
        <v>126</v>
      </c>
      <c r="B266" s="38"/>
      <c r="C266" s="10"/>
      <c r="D266" s="20">
        <v>60</v>
      </c>
      <c r="E266" s="10" t="s">
        <v>1</v>
      </c>
      <c r="F266" s="21">
        <f t="shared" si="50"/>
        <v>0</v>
      </c>
      <c r="G266" s="22">
        <v>2.25</v>
      </c>
      <c r="H266" s="10" t="s">
        <v>1</v>
      </c>
      <c r="I266" s="22">
        <f t="shared" si="51"/>
        <v>0</v>
      </c>
      <c r="J266" s="18">
        <f t="shared" si="52"/>
        <v>0</v>
      </c>
      <c r="K266" s="18">
        <f t="shared" si="36"/>
        <v>0</v>
      </c>
    </row>
    <row r="267" spans="1:11" ht="14" thickBot="1">
      <c r="A267" s="31" t="s">
        <v>150</v>
      </c>
      <c r="B267" s="38"/>
      <c r="C267" s="10"/>
      <c r="D267" s="20">
        <v>85</v>
      </c>
      <c r="E267" s="10" t="s">
        <v>1</v>
      </c>
      <c r="F267" s="21">
        <f t="shared" si="50"/>
        <v>0</v>
      </c>
      <c r="G267" s="22">
        <v>2.5</v>
      </c>
      <c r="H267" s="10" t="s">
        <v>1</v>
      </c>
      <c r="I267" s="22">
        <f t="shared" si="51"/>
        <v>0</v>
      </c>
      <c r="J267" s="18">
        <f t="shared" si="52"/>
        <v>0</v>
      </c>
      <c r="K267" s="18">
        <f t="shared" si="36"/>
        <v>0</v>
      </c>
    </row>
    <row r="268" spans="1:11" ht="14" thickBot="1">
      <c r="A268" s="31" t="s">
        <v>130</v>
      </c>
      <c r="B268" s="38"/>
      <c r="C268" s="10"/>
      <c r="D268" s="20">
        <v>230</v>
      </c>
      <c r="E268" s="10" t="s">
        <v>1</v>
      </c>
      <c r="F268" s="21">
        <f t="shared" si="50"/>
        <v>0</v>
      </c>
      <c r="G268" s="22">
        <v>8</v>
      </c>
      <c r="H268" s="10" t="s">
        <v>1</v>
      </c>
      <c r="I268" s="22">
        <f t="shared" si="51"/>
        <v>0</v>
      </c>
      <c r="J268" s="18">
        <f t="shared" si="52"/>
        <v>0</v>
      </c>
      <c r="K268" s="18">
        <f t="shared" si="36"/>
        <v>0</v>
      </c>
    </row>
    <row r="269" spans="1:11" ht="14" thickBot="1">
      <c r="A269" s="29" t="s">
        <v>521</v>
      </c>
      <c r="B269" s="38"/>
      <c r="C269" s="10"/>
      <c r="D269" s="20">
        <v>150</v>
      </c>
      <c r="E269" s="10" t="s">
        <v>1</v>
      </c>
      <c r="F269" s="21">
        <f>+D269*C269</f>
        <v>0</v>
      </c>
      <c r="G269" s="22">
        <v>2.5</v>
      </c>
      <c r="H269" s="10" t="s">
        <v>1</v>
      </c>
      <c r="I269" s="22">
        <f>+G269*C269</f>
        <v>0</v>
      </c>
      <c r="J269" s="18">
        <f t="shared" si="52"/>
        <v>0</v>
      </c>
      <c r="K269" s="18">
        <f t="shared" si="36"/>
        <v>0</v>
      </c>
    </row>
    <row r="270" spans="1:11" ht="14" thickBot="1">
      <c r="A270" s="29" t="s">
        <v>197</v>
      </c>
      <c r="B270" s="38"/>
      <c r="C270" s="10"/>
      <c r="D270" s="176">
        <v>40</v>
      </c>
      <c r="E270" s="177" t="s">
        <v>1</v>
      </c>
      <c r="F270" s="178">
        <f t="shared" si="50"/>
        <v>0</v>
      </c>
      <c r="G270" s="179">
        <v>1.25</v>
      </c>
      <c r="H270" s="177" t="s">
        <v>1</v>
      </c>
      <c r="I270" s="179">
        <f t="shared" si="51"/>
        <v>0</v>
      </c>
      <c r="J270" s="18">
        <f t="shared" si="52"/>
        <v>0</v>
      </c>
      <c r="K270" s="18">
        <f t="shared" si="36"/>
        <v>0</v>
      </c>
    </row>
    <row r="271" spans="1:11" ht="14" thickBot="1">
      <c r="A271" s="29" t="s">
        <v>292</v>
      </c>
      <c r="B271" s="38"/>
      <c r="C271" s="10"/>
      <c r="D271" s="176">
        <v>75</v>
      </c>
      <c r="E271" s="177" t="s">
        <v>1</v>
      </c>
      <c r="F271" s="178">
        <f>+D271*C271</f>
        <v>0</v>
      </c>
      <c r="G271" s="179">
        <v>2.5</v>
      </c>
      <c r="H271" s="177" t="s">
        <v>1</v>
      </c>
      <c r="I271" s="179">
        <f>+G271*C271</f>
        <v>0</v>
      </c>
      <c r="J271" s="18">
        <f t="shared" si="52"/>
        <v>0</v>
      </c>
      <c r="K271" s="18">
        <f>IF(J271=0,0,J271/C271)</f>
        <v>0</v>
      </c>
    </row>
    <row r="272" spans="1:11" ht="14" thickBot="1">
      <c r="A272" s="29" t="s">
        <v>290</v>
      </c>
      <c r="B272" s="38"/>
      <c r="C272" s="10"/>
      <c r="D272" s="176">
        <v>60</v>
      </c>
      <c r="E272" s="177" t="s">
        <v>1</v>
      </c>
      <c r="F272" s="178">
        <f t="shared" si="50"/>
        <v>0</v>
      </c>
      <c r="G272" s="179">
        <v>1.75</v>
      </c>
      <c r="H272" s="177" t="s">
        <v>1</v>
      </c>
      <c r="I272" s="179">
        <f t="shared" si="51"/>
        <v>0</v>
      </c>
      <c r="J272" s="18">
        <f t="shared" si="52"/>
        <v>0</v>
      </c>
      <c r="K272" s="18">
        <f t="shared" si="36"/>
        <v>0</v>
      </c>
    </row>
    <row r="273" spans="1:11" ht="14" thickBot="1">
      <c r="A273" s="29" t="s">
        <v>291</v>
      </c>
      <c r="B273" s="38"/>
      <c r="C273" s="10"/>
      <c r="D273" s="176">
        <v>115</v>
      </c>
      <c r="E273" s="177" t="s">
        <v>1</v>
      </c>
      <c r="F273" s="178">
        <f>+D273*C273</f>
        <v>0</v>
      </c>
      <c r="G273" s="179">
        <v>3.5</v>
      </c>
      <c r="H273" s="177" t="s">
        <v>1</v>
      </c>
      <c r="I273" s="179">
        <f>+G273*C273</f>
        <v>0</v>
      </c>
      <c r="J273" s="18">
        <f t="shared" si="52"/>
        <v>0</v>
      </c>
      <c r="K273" s="18">
        <f>IF(J273=0,0,J273/C273)</f>
        <v>0</v>
      </c>
    </row>
    <row r="274" spans="1:11" ht="14" thickBot="1">
      <c r="A274" s="29" t="s">
        <v>188</v>
      </c>
      <c r="B274" s="38"/>
      <c r="C274" s="10"/>
      <c r="D274" s="176">
        <v>375</v>
      </c>
      <c r="E274" s="177" t="s">
        <v>1</v>
      </c>
      <c r="F274" s="178">
        <f>+D274*C274</f>
        <v>0</v>
      </c>
      <c r="G274" s="179">
        <v>3.5</v>
      </c>
      <c r="H274" s="177" t="s">
        <v>1</v>
      </c>
      <c r="I274" s="179">
        <f>+G274*C274</f>
        <v>0</v>
      </c>
      <c r="J274" s="18">
        <f t="shared" si="52"/>
        <v>0</v>
      </c>
      <c r="K274" s="18">
        <f t="shared" si="36"/>
        <v>0</v>
      </c>
    </row>
    <row r="275" spans="1:11" ht="14" thickBot="1">
      <c r="A275" s="29" t="s">
        <v>430</v>
      </c>
      <c r="B275" s="38"/>
      <c r="C275" s="10"/>
      <c r="D275" s="176">
        <v>425</v>
      </c>
      <c r="E275" s="177" t="s">
        <v>1</v>
      </c>
      <c r="F275" s="178">
        <f>+D275*C275</f>
        <v>0</v>
      </c>
      <c r="G275" s="179">
        <v>4.5</v>
      </c>
      <c r="H275" s="177" t="s">
        <v>1</v>
      </c>
      <c r="I275" s="179">
        <f>+G275*C275</f>
        <v>0</v>
      </c>
      <c r="J275" s="18">
        <f t="shared" si="52"/>
        <v>0</v>
      </c>
      <c r="K275" s="18">
        <f>IF(J275=0,0,J275/C275)</f>
        <v>0</v>
      </c>
    </row>
    <row r="276" spans="1:11" ht="14" thickBot="1">
      <c r="A276" s="31" t="s">
        <v>98</v>
      </c>
      <c r="B276" s="38"/>
      <c r="C276" s="10"/>
      <c r="D276" s="20">
        <v>400</v>
      </c>
      <c r="E276" s="10" t="s">
        <v>1</v>
      </c>
      <c r="F276" s="21">
        <f t="shared" si="50"/>
        <v>0</v>
      </c>
      <c r="G276" s="22">
        <v>3.5</v>
      </c>
      <c r="H276" s="10" t="s">
        <v>1</v>
      </c>
      <c r="I276" s="22">
        <f t="shared" si="51"/>
        <v>0</v>
      </c>
      <c r="J276" s="18">
        <f t="shared" si="52"/>
        <v>0</v>
      </c>
      <c r="K276" s="18">
        <f t="shared" si="36"/>
        <v>0</v>
      </c>
    </row>
    <row r="277" spans="1:11" ht="14" thickBot="1">
      <c r="A277" s="31" t="s">
        <v>99</v>
      </c>
      <c r="B277" s="38"/>
      <c r="C277" s="10"/>
      <c r="D277" s="20">
        <v>200</v>
      </c>
      <c r="E277" s="10" t="s">
        <v>1</v>
      </c>
      <c r="F277" s="21">
        <f t="shared" si="50"/>
        <v>0</v>
      </c>
      <c r="G277" s="22">
        <v>3</v>
      </c>
      <c r="H277" s="10" t="s">
        <v>1</v>
      </c>
      <c r="I277" s="22">
        <f t="shared" si="51"/>
        <v>0</v>
      </c>
      <c r="J277" s="18">
        <f t="shared" si="52"/>
        <v>0</v>
      </c>
      <c r="K277" s="18">
        <f t="shared" si="36"/>
        <v>0</v>
      </c>
    </row>
    <row r="278" spans="1:11" ht="14" thickBot="1">
      <c r="A278" s="31" t="s">
        <v>102</v>
      </c>
      <c r="B278" s="38"/>
      <c r="C278" s="10"/>
      <c r="D278" s="20">
        <v>250</v>
      </c>
      <c r="E278" s="10" t="s">
        <v>1</v>
      </c>
      <c r="F278" s="21">
        <f t="shared" si="50"/>
        <v>0</v>
      </c>
      <c r="G278" s="22">
        <v>6</v>
      </c>
      <c r="H278" s="10" t="s">
        <v>1</v>
      </c>
      <c r="I278" s="22">
        <f t="shared" si="51"/>
        <v>0</v>
      </c>
      <c r="J278" s="18">
        <f t="shared" si="52"/>
        <v>0</v>
      </c>
      <c r="K278" s="18">
        <f t="shared" si="36"/>
        <v>0</v>
      </c>
    </row>
    <row r="279" spans="1:11" ht="14" thickBot="1">
      <c r="A279" s="31" t="s">
        <v>146</v>
      </c>
      <c r="B279" s="38"/>
      <c r="C279" s="10"/>
      <c r="D279" s="20">
        <v>30</v>
      </c>
      <c r="E279" s="10" t="s">
        <v>1</v>
      </c>
      <c r="F279" s="21">
        <f t="shared" si="50"/>
        <v>0</v>
      </c>
      <c r="G279" s="22">
        <v>0.1</v>
      </c>
      <c r="H279" s="10" t="s">
        <v>1</v>
      </c>
      <c r="I279" s="22">
        <f t="shared" si="51"/>
        <v>0</v>
      </c>
      <c r="J279" s="18">
        <f t="shared" si="52"/>
        <v>0</v>
      </c>
      <c r="K279" s="18">
        <f t="shared" si="36"/>
        <v>0</v>
      </c>
    </row>
    <row r="280" spans="1:11" ht="14" thickBot="1">
      <c r="A280" s="62" t="s">
        <v>151</v>
      </c>
      <c r="B280" s="38"/>
      <c r="C280" s="10"/>
      <c r="D280" s="20">
        <v>400</v>
      </c>
      <c r="E280" s="10" t="s">
        <v>1</v>
      </c>
      <c r="F280" s="21">
        <f t="shared" si="50"/>
        <v>0</v>
      </c>
      <c r="G280" s="22">
        <v>7.5</v>
      </c>
      <c r="H280" s="10" t="s">
        <v>1</v>
      </c>
      <c r="I280" s="22">
        <f t="shared" si="51"/>
        <v>0</v>
      </c>
      <c r="J280" s="18">
        <f t="shared" si="52"/>
        <v>0</v>
      </c>
      <c r="K280" s="18">
        <f t="shared" si="36"/>
        <v>0</v>
      </c>
    </row>
    <row r="281" spans="1:11" ht="14" thickBot="1">
      <c r="A281" s="62" t="s">
        <v>124</v>
      </c>
      <c r="B281" s="38"/>
      <c r="C281" s="10"/>
      <c r="D281" s="20">
        <v>350</v>
      </c>
      <c r="E281" s="10" t="s">
        <v>1</v>
      </c>
      <c r="F281" s="21">
        <f>+D281*C281</f>
        <v>0</v>
      </c>
      <c r="G281" s="22">
        <v>4</v>
      </c>
      <c r="H281" s="10" t="s">
        <v>1</v>
      </c>
      <c r="I281" s="22">
        <f>+G281*C281</f>
        <v>0</v>
      </c>
      <c r="J281" s="18">
        <f t="shared" si="52"/>
        <v>0</v>
      </c>
      <c r="K281" s="18">
        <f t="shared" si="36"/>
        <v>0</v>
      </c>
    </row>
    <row r="282" spans="1:11" ht="14" thickBot="1">
      <c r="A282" s="75" t="s">
        <v>183</v>
      </c>
      <c r="B282" s="38"/>
      <c r="C282" s="10"/>
      <c r="D282" s="20">
        <v>100</v>
      </c>
      <c r="E282" s="10" t="s">
        <v>1</v>
      </c>
      <c r="F282" s="21">
        <f>+D282*C282</f>
        <v>0</v>
      </c>
      <c r="G282" s="22">
        <v>1</v>
      </c>
      <c r="H282" s="10" t="s">
        <v>1</v>
      </c>
      <c r="I282" s="22">
        <f>+G282*C282</f>
        <v>0</v>
      </c>
      <c r="J282" s="18">
        <f t="shared" si="52"/>
        <v>0</v>
      </c>
      <c r="K282" s="18">
        <f t="shared" ref="K282:K320" si="61">IF(J282=0,0,J282/C282)</f>
        <v>0</v>
      </c>
    </row>
    <row r="283" spans="1:11" ht="14" thickBot="1">
      <c r="A283" s="75" t="s">
        <v>185</v>
      </c>
      <c r="B283" s="38"/>
      <c r="C283" s="10"/>
      <c r="D283" s="20">
        <v>100</v>
      </c>
      <c r="E283" s="10" t="s">
        <v>1</v>
      </c>
      <c r="F283" s="21">
        <f>+D283*C283</f>
        <v>0</v>
      </c>
      <c r="G283" s="22">
        <v>1</v>
      </c>
      <c r="H283" s="10" t="s">
        <v>1</v>
      </c>
      <c r="I283" s="22">
        <f>+G283*C283</f>
        <v>0</v>
      </c>
      <c r="J283" s="18">
        <f t="shared" si="52"/>
        <v>0</v>
      </c>
      <c r="K283" s="18">
        <f t="shared" si="61"/>
        <v>0</v>
      </c>
    </row>
    <row r="284" spans="1:11" ht="14" thickBot="1">
      <c r="A284" s="75" t="s">
        <v>184</v>
      </c>
      <c r="B284" s="38"/>
      <c r="C284" s="10"/>
      <c r="D284" s="20">
        <v>500</v>
      </c>
      <c r="E284" s="10" t="s">
        <v>1</v>
      </c>
      <c r="F284" s="21">
        <f t="shared" si="50"/>
        <v>0</v>
      </c>
      <c r="G284" s="22">
        <v>1.5</v>
      </c>
      <c r="H284" s="10" t="s">
        <v>1</v>
      </c>
      <c r="I284" s="22">
        <f t="shared" si="51"/>
        <v>0</v>
      </c>
      <c r="J284" s="18">
        <f t="shared" si="52"/>
        <v>0</v>
      </c>
      <c r="K284" s="18">
        <f t="shared" si="61"/>
        <v>0</v>
      </c>
    </row>
    <row r="285" spans="1:11" ht="14" thickBot="1">
      <c r="A285" s="31"/>
      <c r="B285" s="35"/>
      <c r="C285" s="10"/>
      <c r="D285" s="20"/>
      <c r="E285" s="10"/>
      <c r="F285" s="21"/>
      <c r="G285" s="22"/>
      <c r="H285" s="10"/>
      <c r="I285" s="22"/>
      <c r="J285" s="18"/>
      <c r="K285" s="18"/>
    </row>
    <row r="286" spans="1:11" ht="14" thickBot="1">
      <c r="A286" s="30" t="s">
        <v>36</v>
      </c>
      <c r="B286" s="38">
        <f>SUM(J287:J295)</f>
        <v>0</v>
      </c>
      <c r="C286" s="10"/>
      <c r="D286" s="20"/>
      <c r="E286" s="10"/>
      <c r="F286" s="21"/>
      <c r="G286" s="22"/>
      <c r="H286" s="10"/>
      <c r="I286" s="22"/>
      <c r="J286" s="18"/>
      <c r="K286" s="18"/>
    </row>
    <row r="287" spans="1:11" ht="14" thickBot="1">
      <c r="A287" s="31" t="s">
        <v>173</v>
      </c>
      <c r="B287" s="36"/>
      <c r="C287" s="10"/>
      <c r="D287" s="20">
        <f>FEEDERS!$D$63</f>
        <v>440.1</v>
      </c>
      <c r="E287" s="10" t="s">
        <v>0</v>
      </c>
      <c r="F287" s="21">
        <f>+(D287*C287)/100</f>
        <v>0</v>
      </c>
      <c r="G287" s="22">
        <f>FEEDERS!$G$63</f>
        <v>6.6449999999999996</v>
      </c>
      <c r="H287" s="10" t="s">
        <v>0</v>
      </c>
      <c r="I287" s="22">
        <f t="shared" ref="I287:I293" si="62">+(G287*C287)/100</f>
        <v>0</v>
      </c>
      <c r="J287" s="18">
        <f t="shared" ref="J287:J293" si="63">+(((I287*$I$323)+(F287*(1+$E$323)))*(1+$C$329))</f>
        <v>0</v>
      </c>
      <c r="K287" s="18">
        <f t="shared" si="61"/>
        <v>0</v>
      </c>
    </row>
    <row r="288" spans="1:11" ht="14" thickBot="1">
      <c r="A288" s="31" t="s">
        <v>128</v>
      </c>
      <c r="B288" s="36"/>
      <c r="C288" s="10"/>
      <c r="D288" s="20">
        <f>FEEDERS!$D$67</f>
        <v>1027.2</v>
      </c>
      <c r="E288" s="10" t="s">
        <v>0</v>
      </c>
      <c r="F288" s="21">
        <f>+(D288*C288)/100</f>
        <v>0</v>
      </c>
      <c r="G288" s="22">
        <f>FEEDERS!$G$67</f>
        <v>11.63</v>
      </c>
      <c r="H288" s="10" t="s">
        <v>0</v>
      </c>
      <c r="I288" s="22">
        <f>+(G288*C288)/100</f>
        <v>0</v>
      </c>
      <c r="J288" s="18">
        <f t="shared" si="63"/>
        <v>0</v>
      </c>
      <c r="K288" s="18">
        <f t="shared" si="61"/>
        <v>0</v>
      </c>
    </row>
    <row r="289" spans="1:11" ht="14" thickBot="1">
      <c r="A289" s="31" t="s">
        <v>92</v>
      </c>
      <c r="B289" s="36"/>
      <c r="C289" s="10"/>
      <c r="D289" s="20">
        <f>FEEDERS!$D$68</f>
        <v>1444.8</v>
      </c>
      <c r="E289" s="10" t="s">
        <v>0</v>
      </c>
      <c r="F289" s="21">
        <f>+(D289*C289)/100</f>
        <v>0</v>
      </c>
      <c r="G289" s="22">
        <f>FEEDERS!$G$68</f>
        <v>13.47</v>
      </c>
      <c r="H289" s="10" t="s">
        <v>0</v>
      </c>
      <c r="I289" s="22">
        <f t="shared" si="62"/>
        <v>0</v>
      </c>
      <c r="J289" s="18">
        <f t="shared" si="63"/>
        <v>0</v>
      </c>
      <c r="K289" s="18">
        <f t="shared" si="61"/>
        <v>0</v>
      </c>
    </row>
    <row r="290" spans="1:11" ht="14" thickBot="1">
      <c r="A290" s="31" t="s">
        <v>129</v>
      </c>
      <c r="B290" s="36"/>
      <c r="C290" s="10"/>
      <c r="D290" s="20">
        <f>FEEDERS!$D$67*2</f>
        <v>2054.4</v>
      </c>
      <c r="E290" s="10" t="s">
        <v>0</v>
      </c>
      <c r="F290" s="21">
        <f>+(D290*C290)/100</f>
        <v>0</v>
      </c>
      <c r="G290" s="22">
        <f>FEEDERS!$G$67*2</f>
        <v>23.26</v>
      </c>
      <c r="H290" s="10" t="s">
        <v>0</v>
      </c>
      <c r="I290" s="22">
        <f>+(G290*C290)/100</f>
        <v>0</v>
      </c>
      <c r="J290" s="18">
        <f t="shared" si="63"/>
        <v>0</v>
      </c>
      <c r="K290" s="18">
        <f t="shared" si="61"/>
        <v>0</v>
      </c>
    </row>
    <row r="291" spans="1:11" ht="14" thickBot="1">
      <c r="A291" s="31" t="s">
        <v>93</v>
      </c>
      <c r="B291" s="36"/>
      <c r="C291" s="10"/>
      <c r="D291" s="20">
        <f>FEEDERS!$D$68*2</f>
        <v>2889.6</v>
      </c>
      <c r="E291" s="10" t="s">
        <v>0</v>
      </c>
      <c r="F291" s="21">
        <f>+(D291*C291)/100</f>
        <v>0</v>
      </c>
      <c r="G291" s="22">
        <f>FEEDERS!$G$68*2</f>
        <v>26.94</v>
      </c>
      <c r="H291" s="10" t="s">
        <v>0</v>
      </c>
      <c r="I291" s="22">
        <f>+(G291*C291)/100</f>
        <v>0</v>
      </c>
      <c r="J291" s="18">
        <f t="shared" si="63"/>
        <v>0</v>
      </c>
      <c r="K291" s="18">
        <f t="shared" si="61"/>
        <v>0</v>
      </c>
    </row>
    <row r="292" spans="1:11" ht="14" thickBot="1">
      <c r="A292" s="31" t="s">
        <v>91</v>
      </c>
      <c r="B292" s="36"/>
      <c r="C292" s="10"/>
      <c r="D292" s="20">
        <v>2</v>
      </c>
      <c r="E292" s="10" t="s">
        <v>1</v>
      </c>
      <c r="F292" s="21">
        <f>+D292*C292</f>
        <v>0</v>
      </c>
      <c r="G292" s="22">
        <v>8</v>
      </c>
      <c r="H292" s="10" t="s">
        <v>0</v>
      </c>
      <c r="I292" s="22">
        <f t="shared" si="62"/>
        <v>0</v>
      </c>
      <c r="J292" s="18">
        <f t="shared" si="63"/>
        <v>0</v>
      </c>
      <c r="K292" s="18">
        <f t="shared" si="61"/>
        <v>0</v>
      </c>
    </row>
    <row r="293" spans="1:11" ht="14" thickBot="1">
      <c r="A293" s="31" t="s">
        <v>164</v>
      </c>
      <c r="B293" s="36"/>
      <c r="C293" s="10"/>
      <c r="D293" s="20">
        <v>500</v>
      </c>
      <c r="E293" s="10" t="s">
        <v>0</v>
      </c>
      <c r="F293" s="21">
        <f>+(D293*C293)/100</f>
        <v>0</v>
      </c>
      <c r="G293" s="22">
        <v>3</v>
      </c>
      <c r="H293" s="10" t="s">
        <v>0</v>
      </c>
      <c r="I293" s="22">
        <f t="shared" si="62"/>
        <v>0</v>
      </c>
      <c r="J293" s="18">
        <f t="shared" si="63"/>
        <v>0</v>
      </c>
      <c r="K293" s="18">
        <f t="shared" si="61"/>
        <v>0</v>
      </c>
    </row>
    <row r="294" spans="1:11" ht="14" thickBot="1">
      <c r="A294" s="31"/>
      <c r="B294" s="36"/>
      <c r="C294" s="10"/>
      <c r="D294" s="20"/>
      <c r="E294" s="10"/>
      <c r="F294" s="21"/>
      <c r="G294" s="22"/>
      <c r="H294" s="10"/>
      <c r="I294" s="22"/>
      <c r="J294" s="18"/>
      <c r="K294" s="18"/>
    </row>
    <row r="295" spans="1:11" ht="14" thickBot="1">
      <c r="A295" s="30" t="s">
        <v>117</v>
      </c>
      <c r="B295" s="38">
        <f>SUM(J296:J297)</f>
        <v>0</v>
      </c>
      <c r="C295" s="10"/>
      <c r="D295" s="20"/>
      <c r="E295" s="10"/>
      <c r="F295" s="21"/>
      <c r="G295" s="22"/>
      <c r="H295" s="10"/>
      <c r="I295" s="22"/>
      <c r="J295" s="18"/>
      <c r="K295" s="18"/>
    </row>
    <row r="296" spans="1:11" ht="14" thickBot="1">
      <c r="A296" s="31" t="s">
        <v>116</v>
      </c>
      <c r="B296" s="36"/>
      <c r="C296" s="10"/>
      <c r="D296" s="20">
        <v>110</v>
      </c>
      <c r="E296" s="10" t="s">
        <v>1</v>
      </c>
      <c r="F296" s="21">
        <f>+D296*C296</f>
        <v>0</v>
      </c>
      <c r="G296" s="22">
        <v>3</v>
      </c>
      <c r="H296" s="10" t="s">
        <v>1</v>
      </c>
      <c r="I296" s="22">
        <f>+G296*C296</f>
        <v>0</v>
      </c>
      <c r="J296" s="18">
        <f>+(((I296*$I$323)+(F296*(1+$E$323)))*(1+$C$329))</f>
        <v>0</v>
      </c>
      <c r="K296" s="18">
        <f t="shared" si="61"/>
        <v>0</v>
      </c>
    </row>
    <row r="297" spans="1:11" ht="14" thickBot="1">
      <c r="A297" s="31" t="s">
        <v>119</v>
      </c>
      <c r="B297" s="36"/>
      <c r="C297" s="10"/>
      <c r="D297" s="20">
        <v>300</v>
      </c>
      <c r="E297" s="10" t="s">
        <v>1</v>
      </c>
      <c r="F297" s="21">
        <f>+D297*C297</f>
        <v>0</v>
      </c>
      <c r="G297" s="22">
        <v>4</v>
      </c>
      <c r="H297" s="10" t="s">
        <v>1</v>
      </c>
      <c r="I297" s="22">
        <f>+G297*C297</f>
        <v>0</v>
      </c>
      <c r="J297" s="18">
        <f>+(((I297*$I$323)+(F297*(1+$E$323)))*(1+$C$329))</f>
        <v>0</v>
      </c>
      <c r="K297" s="18">
        <f t="shared" si="61"/>
        <v>0</v>
      </c>
    </row>
    <row r="298" spans="1:11" ht="14" thickBot="1">
      <c r="A298" s="31"/>
      <c r="B298" s="35"/>
      <c r="C298" s="10"/>
      <c r="D298" s="20"/>
      <c r="E298" s="10"/>
      <c r="F298" s="21"/>
      <c r="G298" s="22"/>
      <c r="H298" s="10"/>
      <c r="I298" s="22"/>
      <c r="J298" s="18"/>
      <c r="K298" s="18"/>
    </row>
    <row r="299" spans="1:11" ht="14" thickBot="1">
      <c r="A299" s="30" t="s">
        <v>118</v>
      </c>
      <c r="B299" s="38">
        <f>SUM(J300:J311)</f>
        <v>0</v>
      </c>
      <c r="C299" s="10"/>
      <c r="D299" s="20"/>
      <c r="E299" s="10"/>
      <c r="F299" s="21"/>
      <c r="G299" s="22"/>
      <c r="H299" s="10"/>
      <c r="I299" s="22"/>
      <c r="J299" s="18"/>
      <c r="K299" s="18"/>
    </row>
    <row r="300" spans="1:11" ht="14" thickBot="1">
      <c r="A300" s="31" t="s">
        <v>30</v>
      </c>
      <c r="B300" s="36"/>
      <c r="C300" s="10"/>
      <c r="D300" s="20">
        <v>3500</v>
      </c>
      <c r="E300" s="10" t="s">
        <v>1</v>
      </c>
      <c r="F300" s="21">
        <f t="shared" ref="F300:F310" si="64">+D300*C300</f>
        <v>0</v>
      </c>
      <c r="G300" s="22">
        <v>20</v>
      </c>
      <c r="H300" s="10" t="s">
        <v>1</v>
      </c>
      <c r="I300" s="22">
        <f t="shared" ref="I300:I310" si="65">+G300*C300</f>
        <v>0</v>
      </c>
      <c r="J300" s="18">
        <f t="shared" ref="J300:J310" si="66">+(((I300*$I$323)+(F300*(1+$E$323)))*(1+$C$329))</f>
        <v>0</v>
      </c>
      <c r="K300" s="18">
        <f t="shared" si="61"/>
        <v>0</v>
      </c>
    </row>
    <row r="301" spans="1:11" ht="14" thickBot="1">
      <c r="A301" s="29" t="s">
        <v>186</v>
      </c>
      <c r="B301" s="36"/>
      <c r="C301" s="10"/>
      <c r="D301" s="20">
        <v>2500</v>
      </c>
      <c r="E301" s="10" t="s">
        <v>1</v>
      </c>
      <c r="F301" s="21">
        <f>+D301*C301</f>
        <v>0</v>
      </c>
      <c r="G301" s="22">
        <v>25</v>
      </c>
      <c r="H301" s="10" t="s">
        <v>1</v>
      </c>
      <c r="I301" s="22">
        <f>+G301*C301</f>
        <v>0</v>
      </c>
      <c r="J301" s="18">
        <f t="shared" si="66"/>
        <v>0</v>
      </c>
      <c r="K301" s="18">
        <f t="shared" si="61"/>
        <v>0</v>
      </c>
    </row>
    <row r="302" spans="1:11" ht="14" thickBot="1">
      <c r="A302" s="31" t="s">
        <v>147</v>
      </c>
      <c r="B302" s="36"/>
      <c r="C302" s="10"/>
      <c r="D302" s="20">
        <v>20</v>
      </c>
      <c r="E302" s="10" t="s">
        <v>1</v>
      </c>
      <c r="F302" s="21">
        <f t="shared" si="64"/>
        <v>0</v>
      </c>
      <c r="G302" s="22">
        <v>1</v>
      </c>
      <c r="H302" s="10" t="s">
        <v>1</v>
      </c>
      <c r="I302" s="22">
        <f t="shared" si="65"/>
        <v>0</v>
      </c>
      <c r="J302" s="18">
        <f t="shared" si="66"/>
        <v>0</v>
      </c>
      <c r="K302" s="18">
        <f t="shared" si="61"/>
        <v>0</v>
      </c>
    </row>
    <row r="303" spans="1:11" ht="14" thickBot="1">
      <c r="A303" s="31" t="s">
        <v>31</v>
      </c>
      <c r="B303" s="36"/>
      <c r="C303" s="10"/>
      <c r="D303" s="20">
        <v>400</v>
      </c>
      <c r="E303" s="10" t="s">
        <v>1</v>
      </c>
      <c r="F303" s="21">
        <f t="shared" si="64"/>
        <v>0</v>
      </c>
      <c r="G303" s="22">
        <v>4</v>
      </c>
      <c r="H303" s="10" t="s">
        <v>1</v>
      </c>
      <c r="I303" s="22">
        <f t="shared" si="65"/>
        <v>0</v>
      </c>
      <c r="J303" s="18">
        <f t="shared" si="66"/>
        <v>0</v>
      </c>
      <c r="K303" s="18">
        <f t="shared" si="61"/>
        <v>0</v>
      </c>
    </row>
    <row r="304" spans="1:11" ht="14" thickBot="1">
      <c r="A304" s="31" t="s">
        <v>94</v>
      </c>
      <c r="B304" s="36"/>
      <c r="C304" s="10"/>
      <c r="D304" s="20">
        <v>200</v>
      </c>
      <c r="E304" s="10" t="s">
        <v>1</v>
      </c>
      <c r="F304" s="21">
        <f t="shared" si="64"/>
        <v>0</v>
      </c>
      <c r="G304" s="22">
        <v>3.5</v>
      </c>
      <c r="H304" s="10" t="s">
        <v>1</v>
      </c>
      <c r="I304" s="22">
        <f t="shared" si="65"/>
        <v>0</v>
      </c>
      <c r="J304" s="18">
        <f t="shared" si="66"/>
        <v>0</v>
      </c>
      <c r="K304" s="18">
        <f t="shared" si="61"/>
        <v>0</v>
      </c>
    </row>
    <row r="305" spans="1:11" ht="14" thickBot="1">
      <c r="A305" s="31" t="s">
        <v>95</v>
      </c>
      <c r="B305" s="36"/>
      <c r="C305" s="10"/>
      <c r="D305" s="20">
        <v>200</v>
      </c>
      <c r="E305" s="10" t="s">
        <v>1</v>
      </c>
      <c r="F305" s="21">
        <f t="shared" si="64"/>
        <v>0</v>
      </c>
      <c r="G305" s="22">
        <v>3.5</v>
      </c>
      <c r="H305" s="10" t="s">
        <v>1</v>
      </c>
      <c r="I305" s="22">
        <f t="shared" si="65"/>
        <v>0</v>
      </c>
      <c r="J305" s="18">
        <f t="shared" si="66"/>
        <v>0</v>
      </c>
      <c r="K305" s="18">
        <f t="shared" si="61"/>
        <v>0</v>
      </c>
    </row>
    <row r="306" spans="1:11" ht="14" thickBot="1">
      <c r="A306" s="31" t="s">
        <v>37</v>
      </c>
      <c r="B306" s="36"/>
      <c r="C306" s="10"/>
      <c r="D306" s="20">
        <v>200</v>
      </c>
      <c r="E306" s="10" t="s">
        <v>1</v>
      </c>
      <c r="F306" s="21">
        <f t="shared" si="64"/>
        <v>0</v>
      </c>
      <c r="G306" s="22">
        <v>3.5</v>
      </c>
      <c r="H306" s="10" t="s">
        <v>1</v>
      </c>
      <c r="I306" s="22">
        <f t="shared" si="65"/>
        <v>0</v>
      </c>
      <c r="J306" s="18">
        <f t="shared" si="66"/>
        <v>0</v>
      </c>
      <c r="K306" s="18">
        <f t="shared" si="61"/>
        <v>0</v>
      </c>
    </row>
    <row r="307" spans="1:11" ht="14" thickBot="1">
      <c r="A307" s="31" t="s">
        <v>38</v>
      </c>
      <c r="B307" s="36"/>
      <c r="C307" s="10"/>
      <c r="D307" s="20">
        <v>600</v>
      </c>
      <c r="E307" s="10" t="s">
        <v>1</v>
      </c>
      <c r="F307" s="21">
        <f t="shared" si="64"/>
        <v>0</v>
      </c>
      <c r="G307" s="22">
        <v>4</v>
      </c>
      <c r="H307" s="10" t="s">
        <v>1</v>
      </c>
      <c r="I307" s="22">
        <f t="shared" si="65"/>
        <v>0</v>
      </c>
      <c r="J307" s="18">
        <f t="shared" si="66"/>
        <v>0</v>
      </c>
      <c r="K307" s="18">
        <f t="shared" si="61"/>
        <v>0</v>
      </c>
    </row>
    <row r="308" spans="1:11" ht="14" thickBot="1">
      <c r="A308" s="31" t="s">
        <v>32</v>
      </c>
      <c r="B308" s="36"/>
      <c r="C308" s="10"/>
      <c r="D308" s="20">
        <v>200</v>
      </c>
      <c r="E308" s="10" t="s">
        <v>1</v>
      </c>
      <c r="F308" s="21">
        <f t="shared" si="64"/>
        <v>0</v>
      </c>
      <c r="G308" s="22">
        <v>3</v>
      </c>
      <c r="H308" s="10" t="s">
        <v>1</v>
      </c>
      <c r="I308" s="22">
        <f t="shared" si="65"/>
        <v>0</v>
      </c>
      <c r="J308" s="18">
        <f t="shared" si="66"/>
        <v>0</v>
      </c>
      <c r="K308" s="18">
        <f t="shared" si="61"/>
        <v>0</v>
      </c>
    </row>
    <row r="309" spans="1:11" ht="14" thickBot="1">
      <c r="A309" s="31" t="s">
        <v>60</v>
      </c>
      <c r="B309" s="36"/>
      <c r="C309" s="10"/>
      <c r="D309" s="20">
        <v>250</v>
      </c>
      <c r="E309" s="10" t="s">
        <v>1</v>
      </c>
      <c r="F309" s="21">
        <f t="shared" si="64"/>
        <v>0</v>
      </c>
      <c r="G309" s="22">
        <v>2</v>
      </c>
      <c r="H309" s="10" t="s">
        <v>1</v>
      </c>
      <c r="I309" s="22">
        <f t="shared" si="65"/>
        <v>0</v>
      </c>
      <c r="J309" s="18">
        <f t="shared" si="66"/>
        <v>0</v>
      </c>
      <c r="K309" s="18">
        <f t="shared" si="61"/>
        <v>0</v>
      </c>
    </row>
    <row r="310" spans="1:11" ht="14" thickBot="1">
      <c r="A310" s="31" t="s">
        <v>104</v>
      </c>
      <c r="B310" s="36"/>
      <c r="C310" s="10"/>
      <c r="D310" s="20">
        <v>600</v>
      </c>
      <c r="E310" s="10" t="s">
        <v>1</v>
      </c>
      <c r="F310" s="21">
        <f t="shared" si="64"/>
        <v>0</v>
      </c>
      <c r="G310" s="22">
        <v>2</v>
      </c>
      <c r="H310" s="10" t="s">
        <v>1</v>
      </c>
      <c r="I310" s="22">
        <f t="shared" si="65"/>
        <v>0</v>
      </c>
      <c r="J310" s="18">
        <f t="shared" si="66"/>
        <v>0</v>
      </c>
      <c r="K310" s="18">
        <f t="shared" si="61"/>
        <v>0</v>
      </c>
    </row>
    <row r="311" spans="1:11" ht="14" thickBot="1">
      <c r="A311" s="31"/>
      <c r="B311" s="36"/>
      <c r="C311" s="10"/>
      <c r="D311" s="20"/>
      <c r="E311" s="10"/>
      <c r="F311" s="21"/>
      <c r="G311" s="22"/>
      <c r="H311" s="10"/>
      <c r="I311" s="22"/>
      <c r="J311" s="18"/>
      <c r="K311" s="18"/>
    </row>
    <row r="312" spans="1:11" ht="14" thickBot="1">
      <c r="A312" s="30" t="s">
        <v>20</v>
      </c>
      <c r="B312" s="38">
        <f>SUM(J313:J320)</f>
        <v>0</v>
      </c>
      <c r="C312" s="10"/>
      <c r="D312" s="20"/>
      <c r="E312" s="10"/>
      <c r="F312" s="21"/>
      <c r="G312" s="22"/>
      <c r="H312" s="10"/>
      <c r="I312" s="22"/>
      <c r="J312" s="18"/>
      <c r="K312" s="18"/>
    </row>
    <row r="313" spans="1:11" ht="14" thickBot="1">
      <c r="A313" s="29" t="s">
        <v>27</v>
      </c>
      <c r="B313" s="34"/>
      <c r="C313" s="10"/>
      <c r="D313" s="20">
        <v>3000</v>
      </c>
      <c r="E313" s="10" t="s">
        <v>83</v>
      </c>
      <c r="F313" s="21">
        <f t="shared" ref="F313:F319" si="67">+D313*C313</f>
        <v>0</v>
      </c>
      <c r="G313" s="22">
        <v>40</v>
      </c>
      <c r="H313" s="10" t="s">
        <v>83</v>
      </c>
      <c r="I313" s="22">
        <f t="shared" ref="I313:I319" si="68">+G313*C313</f>
        <v>0</v>
      </c>
      <c r="J313" s="18">
        <f t="shared" ref="J313:J320" si="69">+(((I313*$I$323)+(F313*(1+$E$323)))*(1+$C$329))</f>
        <v>0</v>
      </c>
      <c r="K313" s="18">
        <f t="shared" si="61"/>
        <v>0</v>
      </c>
    </row>
    <row r="314" spans="1:11" ht="14" thickBot="1">
      <c r="A314" s="29" t="s">
        <v>182</v>
      </c>
      <c r="B314" s="34"/>
      <c r="C314" s="10"/>
      <c r="D314" s="20">
        <v>1000</v>
      </c>
      <c r="E314" s="10" t="s">
        <v>83</v>
      </c>
      <c r="F314" s="21">
        <f t="shared" si="67"/>
        <v>0</v>
      </c>
      <c r="G314" s="22">
        <v>20</v>
      </c>
      <c r="H314" s="10" t="s">
        <v>83</v>
      </c>
      <c r="I314" s="22">
        <f t="shared" si="68"/>
        <v>0</v>
      </c>
      <c r="J314" s="18">
        <f t="shared" si="69"/>
        <v>0</v>
      </c>
      <c r="K314" s="18">
        <f t="shared" si="61"/>
        <v>0</v>
      </c>
    </row>
    <row r="315" spans="1:11" ht="14" thickBot="1">
      <c r="A315" s="29" t="s">
        <v>208</v>
      </c>
      <c r="B315" s="34"/>
      <c r="C315" s="10"/>
      <c r="D315" s="20">
        <v>15</v>
      </c>
      <c r="E315" s="10" t="s">
        <v>83</v>
      </c>
      <c r="F315" s="21">
        <f t="shared" si="67"/>
        <v>0</v>
      </c>
      <c r="G315" s="22">
        <v>1.25</v>
      </c>
      <c r="H315" s="10" t="s">
        <v>83</v>
      </c>
      <c r="I315" s="22">
        <f t="shared" si="68"/>
        <v>0</v>
      </c>
      <c r="J315" s="18">
        <f t="shared" si="69"/>
        <v>0</v>
      </c>
      <c r="K315" s="18">
        <f>IF(J315=0,0,J315/C315)</f>
        <v>0</v>
      </c>
    </row>
    <row r="316" spans="1:11" ht="14" thickBot="1">
      <c r="A316" s="29" t="s">
        <v>207</v>
      </c>
      <c r="B316" s="34"/>
      <c r="C316" s="10"/>
      <c r="D316" s="20">
        <v>20</v>
      </c>
      <c r="E316" s="10" t="s">
        <v>83</v>
      </c>
      <c r="F316" s="21">
        <f t="shared" si="67"/>
        <v>0</v>
      </c>
      <c r="G316" s="22">
        <v>1</v>
      </c>
      <c r="H316" s="10" t="s">
        <v>83</v>
      </c>
      <c r="I316" s="22">
        <f t="shared" si="68"/>
        <v>0</v>
      </c>
      <c r="J316" s="18">
        <f t="shared" si="69"/>
        <v>0</v>
      </c>
      <c r="K316" s="18">
        <f t="shared" si="61"/>
        <v>0</v>
      </c>
    </row>
    <row r="317" spans="1:11" ht="14" thickBot="1">
      <c r="A317" s="29" t="s">
        <v>209</v>
      </c>
      <c r="B317" s="34"/>
      <c r="C317" s="10"/>
      <c r="D317" s="20">
        <f>I322/40*100</f>
        <v>0</v>
      </c>
      <c r="E317" s="10" t="s">
        <v>83</v>
      </c>
      <c r="F317" s="21">
        <f t="shared" si="67"/>
        <v>0</v>
      </c>
      <c r="G317" s="22">
        <v>0</v>
      </c>
      <c r="H317" s="10" t="s">
        <v>83</v>
      </c>
      <c r="I317" s="22">
        <f t="shared" si="68"/>
        <v>0</v>
      </c>
      <c r="J317" s="18">
        <f t="shared" si="69"/>
        <v>0</v>
      </c>
      <c r="K317" s="18">
        <f>IF(J317=0,0,J317/C317)</f>
        <v>0</v>
      </c>
    </row>
    <row r="318" spans="1:11" ht="14" thickBot="1">
      <c r="A318" s="29" t="s">
        <v>28</v>
      </c>
      <c r="B318" s="34"/>
      <c r="C318" s="10"/>
      <c r="D318" s="20">
        <v>1000</v>
      </c>
      <c r="E318" s="10" t="s">
        <v>83</v>
      </c>
      <c r="F318" s="21">
        <f t="shared" si="67"/>
        <v>0</v>
      </c>
      <c r="G318" s="22">
        <v>40</v>
      </c>
      <c r="H318" s="10" t="s">
        <v>83</v>
      </c>
      <c r="I318" s="22">
        <f t="shared" si="68"/>
        <v>0</v>
      </c>
      <c r="J318" s="18">
        <f t="shared" si="69"/>
        <v>0</v>
      </c>
      <c r="K318" s="18">
        <f t="shared" si="61"/>
        <v>0</v>
      </c>
    </row>
    <row r="319" spans="1:11" ht="14" thickBot="1">
      <c r="A319" s="32" t="s">
        <v>29</v>
      </c>
      <c r="B319" s="37"/>
      <c r="C319" s="23"/>
      <c r="D319" s="24">
        <v>5000</v>
      </c>
      <c r="E319" s="10" t="s">
        <v>83</v>
      </c>
      <c r="F319" s="21">
        <f t="shared" si="67"/>
        <v>0</v>
      </c>
      <c r="G319" s="22"/>
      <c r="H319" s="10" t="s">
        <v>83</v>
      </c>
      <c r="I319" s="22">
        <f t="shared" si="68"/>
        <v>0</v>
      </c>
      <c r="J319" s="18">
        <f t="shared" si="69"/>
        <v>0</v>
      </c>
      <c r="K319" s="18">
        <f t="shared" si="61"/>
        <v>0</v>
      </c>
    </row>
    <row r="320" spans="1:11" ht="14" thickBot="1">
      <c r="A320" s="29"/>
      <c r="B320" s="34"/>
      <c r="C320" s="10"/>
      <c r="D320" s="20"/>
      <c r="E320" s="10"/>
      <c r="F320" s="21"/>
      <c r="G320" s="25"/>
      <c r="H320" s="10"/>
      <c r="I320" s="22"/>
      <c r="J320" s="18">
        <f t="shared" si="69"/>
        <v>0</v>
      </c>
      <c r="K320" s="18">
        <f t="shared" si="61"/>
        <v>0</v>
      </c>
    </row>
    <row r="321" spans="1:10">
      <c r="A321" s="2"/>
      <c r="B321" s="42">
        <f>SUM(B11:B320)</f>
        <v>0</v>
      </c>
      <c r="C321" s="1"/>
      <c r="D321" s="3"/>
      <c r="E321" s="1"/>
      <c r="F321" s="3"/>
      <c r="G321" s="4"/>
      <c r="H321" s="1"/>
      <c r="I321" s="4"/>
      <c r="J321" s="19">
        <f>SUM(J12:J319)</f>
        <v>0</v>
      </c>
    </row>
    <row r="322" spans="1:10">
      <c r="A322" s="2" t="s">
        <v>2</v>
      </c>
      <c r="B322" s="2"/>
      <c r="C322" s="1"/>
      <c r="D322" s="3"/>
      <c r="E322" s="2"/>
      <c r="F322" s="3">
        <f>SUM(F9:F320)</f>
        <v>0</v>
      </c>
      <c r="G322" s="4"/>
      <c r="H322" s="2"/>
      <c r="I322" s="4">
        <f>SUM(I9:I320)</f>
        <v>0</v>
      </c>
    </row>
    <row r="323" spans="1:10" ht="14" thickBot="1">
      <c r="A323" s="2" t="s">
        <v>3</v>
      </c>
      <c r="B323" s="2"/>
      <c r="C323" s="1"/>
      <c r="D323" s="3"/>
      <c r="E323" s="7">
        <v>0.10249999999999999</v>
      </c>
      <c r="F323" s="5">
        <f>+F322*E323</f>
        <v>0</v>
      </c>
      <c r="G323" s="4"/>
      <c r="H323" s="2"/>
      <c r="I323" s="5">
        <v>98</v>
      </c>
    </row>
    <row r="324" spans="1:10">
      <c r="A324" s="2"/>
      <c r="B324" s="2"/>
      <c r="C324" s="1"/>
      <c r="D324" s="2"/>
      <c r="E324" s="2"/>
      <c r="F324" s="3">
        <f>SUM(F322:F323)</f>
        <v>0</v>
      </c>
      <c r="G324" s="4"/>
      <c r="H324" s="2"/>
      <c r="I324" s="6">
        <f>I322*I323</f>
        <v>0</v>
      </c>
    </row>
    <row r="325" spans="1:10">
      <c r="A325" s="2"/>
      <c r="B325" s="2"/>
      <c r="C325" s="1"/>
      <c r="D325" s="2"/>
      <c r="E325" s="2"/>
      <c r="F325" s="2"/>
      <c r="G325" s="2"/>
      <c r="H325" s="2"/>
      <c r="I325" s="2"/>
    </row>
    <row r="326" spans="1:10">
      <c r="A326" s="2" t="s">
        <v>13</v>
      </c>
      <c r="B326" s="2"/>
      <c r="C326" s="1"/>
      <c r="D326" s="3">
        <f>F324</f>
        <v>0</v>
      </c>
      <c r="E326" s="2"/>
      <c r="F326" s="2">
        <v>828520</v>
      </c>
      <c r="G326" s="9" t="s">
        <v>81</v>
      </c>
      <c r="H326" s="2"/>
      <c r="I326" s="2"/>
    </row>
    <row r="327" spans="1:10">
      <c r="A327" s="2" t="s">
        <v>14</v>
      </c>
      <c r="B327" s="2"/>
      <c r="C327" s="1"/>
      <c r="D327" s="8">
        <f>I324</f>
        <v>0</v>
      </c>
      <c r="E327" s="2"/>
      <c r="F327" s="2">
        <v>0</v>
      </c>
      <c r="G327" s="9" t="s">
        <v>80</v>
      </c>
      <c r="H327" s="2"/>
      <c r="I327" s="2"/>
    </row>
    <row r="328" spans="1:10">
      <c r="A328" s="2" t="s">
        <v>2</v>
      </c>
      <c r="B328" s="2"/>
      <c r="C328" s="1"/>
      <c r="D328" s="3">
        <f>SUM(D326:D327)</f>
        <v>0</v>
      </c>
      <c r="E328" s="2"/>
      <c r="F328" s="43">
        <f>+F327+F326</f>
        <v>828520</v>
      </c>
      <c r="G328" s="9" t="s">
        <v>82</v>
      </c>
      <c r="H328" s="2"/>
      <c r="I328" s="2"/>
    </row>
    <row r="329" spans="1:10">
      <c r="A329" s="2" t="s">
        <v>15</v>
      </c>
      <c r="B329" s="2"/>
      <c r="C329" s="14">
        <v>0</v>
      </c>
      <c r="D329" s="6">
        <f>D328*C329</f>
        <v>0</v>
      </c>
      <c r="E329" s="2"/>
      <c r="F329" s="11">
        <f>+D331/F328</f>
        <v>0</v>
      </c>
      <c r="G329" s="9" t="s">
        <v>18</v>
      </c>
      <c r="H329" s="2"/>
      <c r="I329" s="2"/>
    </row>
    <row r="330" spans="1:10" ht="14" thickBot="1">
      <c r="A330" s="2"/>
      <c r="B330" s="2"/>
      <c r="C330" s="15"/>
      <c r="D330" s="6"/>
      <c r="E330" s="2"/>
      <c r="H330" s="2"/>
      <c r="I330" s="17"/>
    </row>
    <row r="331" spans="1:10" ht="14" thickBot="1">
      <c r="A331" s="29" t="s">
        <v>16</v>
      </c>
      <c r="B331" s="67"/>
      <c r="C331" s="68"/>
      <c r="D331" s="69">
        <f>ROUNDUP(SUM(D328:D330),0)</f>
        <v>0</v>
      </c>
      <c r="E331" s="2"/>
      <c r="H331" s="2"/>
      <c r="I331" s="2"/>
    </row>
    <row r="333" spans="1:10">
      <c r="D333" s="16"/>
      <c r="E333" s="16"/>
    </row>
    <row r="334" spans="1:10">
      <c r="D334" s="16"/>
      <c r="E334" s="26"/>
      <c r="F334" s="27"/>
      <c r="G334" s="27"/>
    </row>
  </sheetData>
  <pageMargins left="0.75" right="0.75" top="1" bottom="1" header="0.5" footer="0.5"/>
  <pageSetup scale="54" fitToHeight="3" orientation="portrait" horizontalDpi="300" verticalDpi="300" r:id="rId1"/>
  <headerFooter alignWithMargins="0"/>
  <rowBreaks count="2" manualBreakCount="2">
    <brk id="158" max="16383" man="1"/>
    <brk id="246"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A168"/>
  <sheetViews>
    <sheetView showGridLines="0" topLeftCell="A74" zoomScale="85" zoomScaleNormal="85" workbookViewId="0">
      <selection activeCell="B121" sqref="B121"/>
    </sheetView>
  </sheetViews>
  <sheetFormatPr baseColWidth="10" defaultColWidth="9" defaultRowHeight="13"/>
  <cols>
    <col min="1" max="1" width="28.3984375" customWidth="1"/>
    <col min="2" max="2" width="15.796875" customWidth="1"/>
    <col min="3" max="3" width="9.19921875" style="16" customWidth="1"/>
    <col min="4" max="4" width="12.796875" customWidth="1"/>
    <col min="6" max="6" width="10.3984375" customWidth="1"/>
    <col min="7" max="7" width="11.19921875" customWidth="1"/>
    <col min="9" max="9" width="10.3984375" customWidth="1"/>
    <col min="10" max="10" width="12" customWidth="1"/>
    <col min="13" max="13" width="14.796875" customWidth="1"/>
    <col min="14" max="14" width="0.3984375" customWidth="1"/>
    <col min="15" max="15" width="11" customWidth="1"/>
    <col min="16" max="16" width="0.59765625" customWidth="1"/>
    <col min="17" max="18" width="10.796875" customWidth="1"/>
    <col min="19" max="19" width="11.59765625" customWidth="1"/>
    <col min="20" max="20" width="2.796875" customWidth="1"/>
    <col min="21" max="21" width="9.3984375" bestFit="1" customWidth="1"/>
    <col min="22" max="22" width="1.59765625" customWidth="1"/>
    <col min="23" max="23" width="9.3984375" bestFit="1" customWidth="1"/>
    <col min="26" max="26" width="14" customWidth="1"/>
    <col min="27" max="27" width="12.59765625" customWidth="1"/>
  </cols>
  <sheetData>
    <row r="1" spans="1:27">
      <c r="A1" s="12" t="s">
        <v>69</v>
      </c>
      <c r="B1" s="12"/>
      <c r="C1" s="13"/>
      <c r="D1" s="12" t="s">
        <v>17</v>
      </c>
      <c r="E1" s="12"/>
      <c r="F1" s="13" t="s">
        <v>4</v>
      </c>
      <c r="G1" s="12" t="s">
        <v>5</v>
      </c>
      <c r="H1" s="2"/>
      <c r="I1" s="2"/>
    </row>
    <row r="2" spans="1:27">
      <c r="A2" s="63" t="s">
        <v>139</v>
      </c>
      <c r="B2" s="9"/>
      <c r="C2" s="1"/>
      <c r="D2" s="65" t="s">
        <v>153</v>
      </c>
      <c r="E2" s="1"/>
      <c r="F2" s="66" t="s">
        <v>144</v>
      </c>
      <c r="G2" s="65" t="s">
        <v>41</v>
      </c>
      <c r="H2" s="1"/>
      <c r="I2" s="1"/>
    </row>
    <row r="3" spans="1:27">
      <c r="A3" s="63" t="s">
        <v>140</v>
      </c>
      <c r="B3" s="9"/>
      <c r="C3" s="1"/>
      <c r="D3" s="65"/>
      <c r="E3" s="1"/>
      <c r="F3" s="66"/>
      <c r="G3" s="65"/>
      <c r="H3" s="1"/>
      <c r="I3" s="1"/>
    </row>
    <row r="4" spans="1:27" ht="14" thickBot="1">
      <c r="A4" s="64" t="s">
        <v>141</v>
      </c>
      <c r="B4" s="2"/>
      <c r="C4" s="1"/>
      <c r="D4" s="1"/>
      <c r="E4" s="1"/>
      <c r="F4" s="1"/>
      <c r="G4" s="1"/>
      <c r="H4" s="1"/>
      <c r="I4" s="1"/>
    </row>
    <row r="5" spans="1:27" ht="14" thickTop="1">
      <c r="A5" s="64" t="s">
        <v>142</v>
      </c>
      <c r="B5" s="2"/>
      <c r="C5" s="1"/>
      <c r="D5" s="1"/>
      <c r="E5" s="1"/>
      <c r="F5" s="1"/>
      <c r="G5" s="1"/>
      <c r="H5" s="1"/>
      <c r="I5" s="1"/>
      <c r="M5" s="186" t="s">
        <v>381</v>
      </c>
      <c r="N5" s="187"/>
      <c r="O5" s="187"/>
      <c r="P5" s="188"/>
      <c r="S5" s="186"/>
      <c r="T5" s="187"/>
      <c r="U5" s="187"/>
      <c r="V5" s="188"/>
    </row>
    <row r="6" spans="1:27" ht="14" thickBot="1">
      <c r="A6" s="64" t="s">
        <v>143</v>
      </c>
      <c r="B6" s="2"/>
      <c r="C6" s="1"/>
      <c r="D6" s="1"/>
      <c r="E6" s="1"/>
      <c r="F6" s="1"/>
      <c r="G6" s="1"/>
      <c r="H6" s="1"/>
      <c r="I6" s="1"/>
      <c r="M6" s="162" t="s">
        <v>382</v>
      </c>
      <c r="N6" s="163"/>
      <c r="O6" s="163"/>
      <c r="P6" s="150"/>
      <c r="S6" s="162" t="s">
        <v>431</v>
      </c>
      <c r="T6" s="163"/>
      <c r="U6" s="163"/>
      <c r="V6" s="150"/>
    </row>
    <row r="7" spans="1:27" ht="15" thickTop="1" thickBot="1">
      <c r="A7" s="2"/>
      <c r="B7" s="2"/>
      <c r="C7" s="1"/>
      <c r="D7" s="1"/>
      <c r="E7" s="1"/>
      <c r="F7" s="1"/>
      <c r="G7" s="1"/>
      <c r="H7" s="1"/>
      <c r="I7" s="1"/>
      <c r="M7" s="189" t="s">
        <v>383</v>
      </c>
      <c r="N7" s="187"/>
      <c r="O7" s="187"/>
      <c r="P7" s="188"/>
      <c r="Q7" s="175" t="s">
        <v>536</v>
      </c>
      <c r="S7" s="189" t="s">
        <v>445</v>
      </c>
      <c r="T7" s="187"/>
      <c r="U7" s="187"/>
      <c r="V7" s="188"/>
    </row>
    <row r="8" spans="1:27" ht="14" thickBot="1">
      <c r="A8" s="28" t="s">
        <v>6</v>
      </c>
      <c r="B8" s="33"/>
      <c r="C8" s="10" t="s">
        <v>7</v>
      </c>
      <c r="D8" s="10" t="s">
        <v>8</v>
      </c>
      <c r="E8" s="10" t="s">
        <v>9</v>
      </c>
      <c r="F8" s="10" t="s">
        <v>10</v>
      </c>
      <c r="G8" s="10" t="s">
        <v>11</v>
      </c>
      <c r="H8" s="10" t="s">
        <v>9</v>
      </c>
      <c r="I8" s="10" t="s">
        <v>12</v>
      </c>
      <c r="J8" t="s">
        <v>16</v>
      </c>
      <c r="K8" t="s">
        <v>19</v>
      </c>
      <c r="M8" s="151" t="s">
        <v>384</v>
      </c>
      <c r="N8" s="152"/>
      <c r="O8" s="180">
        <v>72</v>
      </c>
      <c r="P8" s="153"/>
      <c r="Q8" s="180">
        <v>70</v>
      </c>
      <c r="R8" s="182">
        <f>(O8-Q8)/Q8</f>
        <v>2.8571428571428571E-2</v>
      </c>
      <c r="S8" s="151" t="s">
        <v>432</v>
      </c>
      <c r="T8" s="152"/>
      <c r="U8" s="149">
        <v>450</v>
      </c>
      <c r="V8" s="153"/>
      <c r="Z8" s="149"/>
    </row>
    <row r="9" spans="1:27" ht="17" thickBot="1">
      <c r="A9" s="183" t="s">
        <v>376</v>
      </c>
      <c r="B9" s="183"/>
      <c r="C9" s="142"/>
      <c r="D9" s="184"/>
      <c r="E9" s="184"/>
      <c r="F9" s="144"/>
      <c r="G9" s="145"/>
      <c r="H9" s="143"/>
      <c r="I9" s="146"/>
      <c r="J9" s="18">
        <f t="shared" ref="J9:J31" si="0">+(((I9*$I$125)+(F9*(1+$E$125)))*(1+$C$131))</f>
        <v>0</v>
      </c>
      <c r="K9" s="18">
        <f t="shared" ref="K9:K18" si="1">IF(J9=0,0,J9/C9)</f>
        <v>0</v>
      </c>
      <c r="M9" s="154" t="s">
        <v>385</v>
      </c>
      <c r="N9" s="155"/>
      <c r="O9" s="180">
        <v>338</v>
      </c>
      <c r="P9" s="153"/>
      <c r="Q9" s="180">
        <v>331</v>
      </c>
      <c r="R9" s="182">
        <f t="shared" ref="R9:R51" si="2">(O9-Q9)/Q9</f>
        <v>2.1148036253776436E-2</v>
      </c>
      <c r="S9" s="169" t="s">
        <v>434</v>
      </c>
      <c r="T9" s="155"/>
      <c r="U9" s="149">
        <v>500</v>
      </c>
      <c r="V9" s="153"/>
      <c r="Z9" s="149"/>
      <c r="AA9" s="149"/>
    </row>
    <row r="10" spans="1:27" ht="15" thickBot="1">
      <c r="A10" s="137" t="s">
        <v>334</v>
      </c>
      <c r="B10" s="164">
        <v>0.5</v>
      </c>
      <c r="C10" s="138">
        <v>1</v>
      </c>
      <c r="D10" s="139">
        <f>O8*B10+O8</f>
        <v>108</v>
      </c>
      <c r="E10" s="10" t="s">
        <v>0</v>
      </c>
      <c r="F10" s="21">
        <f t="shared" ref="F10:F19" si="3">+(D10*C10)/100</f>
        <v>1.08</v>
      </c>
      <c r="G10" s="138">
        <v>4.67</v>
      </c>
      <c r="H10" s="10" t="s">
        <v>0</v>
      </c>
      <c r="I10" s="22">
        <f t="shared" ref="I10:I19" si="4">+(G10*C10)/100</f>
        <v>4.6699999999999998E-2</v>
      </c>
      <c r="J10" s="18">
        <f t="shared" si="0"/>
        <v>5.7673000000000005</v>
      </c>
      <c r="K10" s="18">
        <f t="shared" si="1"/>
        <v>5.7673000000000005</v>
      </c>
      <c r="M10" s="154" t="s">
        <v>386</v>
      </c>
      <c r="N10" s="155"/>
      <c r="O10" s="180">
        <v>203</v>
      </c>
      <c r="P10" s="153"/>
      <c r="Q10" s="180">
        <v>199</v>
      </c>
      <c r="R10" s="182">
        <f t="shared" si="2"/>
        <v>2.0100502512562814E-2</v>
      </c>
      <c r="S10" s="169" t="s">
        <v>435</v>
      </c>
      <c r="T10" s="155"/>
      <c r="U10" s="149">
        <v>600</v>
      </c>
      <c r="V10" s="153"/>
      <c r="Z10" s="149"/>
      <c r="AA10" s="149"/>
    </row>
    <row r="11" spans="1:27" ht="15" thickBot="1">
      <c r="A11" s="137" t="s">
        <v>335</v>
      </c>
      <c r="B11" s="164">
        <v>0.45</v>
      </c>
      <c r="C11" s="138">
        <v>1</v>
      </c>
      <c r="D11" s="139">
        <f>O12*B11+O12</f>
        <v>184.15</v>
      </c>
      <c r="E11" s="10" t="s">
        <v>0</v>
      </c>
      <c r="F11" s="21">
        <f t="shared" si="3"/>
        <v>1.8415000000000001</v>
      </c>
      <c r="G11" s="138">
        <v>4.96</v>
      </c>
      <c r="H11" s="10" t="s">
        <v>0</v>
      </c>
      <c r="I11" s="22">
        <f t="shared" si="4"/>
        <v>4.9599999999999998E-2</v>
      </c>
      <c r="J11" s="18">
        <f t="shared" si="0"/>
        <v>6.8910537500000011</v>
      </c>
      <c r="K11" s="18">
        <f t="shared" si="1"/>
        <v>6.8910537500000011</v>
      </c>
      <c r="M11" s="154" t="s">
        <v>387</v>
      </c>
      <c r="N11" s="155"/>
      <c r="O11" s="180">
        <v>89</v>
      </c>
      <c r="P11" s="153"/>
      <c r="Q11" s="180">
        <v>89</v>
      </c>
      <c r="R11" s="182">
        <f t="shared" si="2"/>
        <v>0</v>
      </c>
      <c r="S11" s="169" t="s">
        <v>436</v>
      </c>
      <c r="T11" s="155"/>
      <c r="U11" s="149">
        <v>700</v>
      </c>
      <c r="V11" s="153"/>
      <c r="Z11" s="149"/>
      <c r="AA11" s="149"/>
    </row>
    <row r="12" spans="1:27" ht="15" thickBot="1">
      <c r="A12" s="137" t="s">
        <v>336</v>
      </c>
      <c r="B12" s="164">
        <v>0.4</v>
      </c>
      <c r="C12" s="138">
        <v>1</v>
      </c>
      <c r="D12" s="139">
        <f>O16+B12*O16</f>
        <v>312.2</v>
      </c>
      <c r="E12" s="10" t="s">
        <v>0</v>
      </c>
      <c r="F12" s="21">
        <f t="shared" si="3"/>
        <v>3.1219999999999999</v>
      </c>
      <c r="G12" s="138">
        <v>6.9379999999999997</v>
      </c>
      <c r="H12" s="10" t="s">
        <v>0</v>
      </c>
      <c r="I12" s="22">
        <f t="shared" si="4"/>
        <v>6.9379999999999997E-2</v>
      </c>
      <c r="J12" s="18">
        <f t="shared" si="0"/>
        <v>10.241244999999999</v>
      </c>
      <c r="K12" s="18">
        <f t="shared" si="1"/>
        <v>10.241244999999999</v>
      </c>
      <c r="M12" s="154" t="s">
        <v>388</v>
      </c>
      <c r="N12" s="155"/>
      <c r="O12" s="180">
        <v>127</v>
      </c>
      <c r="P12" s="153"/>
      <c r="Q12" s="180">
        <v>124</v>
      </c>
      <c r="R12" s="182">
        <f t="shared" si="2"/>
        <v>2.4193548387096774E-2</v>
      </c>
      <c r="S12" s="169" t="s">
        <v>437</v>
      </c>
      <c r="T12" s="155"/>
      <c r="U12" s="149">
        <v>800</v>
      </c>
      <c r="V12" s="153"/>
      <c r="Z12" s="149"/>
      <c r="AA12" s="149"/>
    </row>
    <row r="13" spans="1:27" ht="15" thickBot="1">
      <c r="A13" s="137" t="s">
        <v>337</v>
      </c>
      <c r="B13" s="164">
        <v>0.4</v>
      </c>
      <c r="C13" s="138">
        <v>1</v>
      </c>
      <c r="D13" s="139">
        <f>O20*B13+O20</f>
        <v>508.20000000000005</v>
      </c>
      <c r="E13" s="10" t="s">
        <v>0</v>
      </c>
      <c r="F13" s="21">
        <f t="shared" si="3"/>
        <v>5.0820000000000007</v>
      </c>
      <c r="G13" s="138">
        <v>8.1820000000000004</v>
      </c>
      <c r="H13" s="10" t="s">
        <v>0</v>
      </c>
      <c r="I13" s="22">
        <f t="shared" si="4"/>
        <v>8.1820000000000004E-2</v>
      </c>
      <c r="J13" s="18">
        <f t="shared" si="0"/>
        <v>13.621265000000001</v>
      </c>
      <c r="K13" s="18">
        <f t="shared" si="1"/>
        <v>13.621265000000001</v>
      </c>
      <c r="M13" s="154" t="s">
        <v>389</v>
      </c>
      <c r="N13" s="155"/>
      <c r="O13" s="180">
        <v>346</v>
      </c>
      <c r="P13" s="153"/>
      <c r="Q13" s="180">
        <v>339</v>
      </c>
      <c r="R13" s="182">
        <f t="shared" si="2"/>
        <v>2.0648967551622419E-2</v>
      </c>
      <c r="S13" s="154" t="s">
        <v>433</v>
      </c>
      <c r="T13" s="155"/>
      <c r="U13" s="149">
        <v>950</v>
      </c>
      <c r="V13" s="153"/>
      <c r="Z13" s="149"/>
      <c r="AA13" s="149"/>
    </row>
    <row r="14" spans="1:27" ht="15" thickBot="1">
      <c r="A14" s="137" t="s">
        <v>338</v>
      </c>
      <c r="B14" s="164">
        <v>0.4</v>
      </c>
      <c r="C14" s="138">
        <v>1</v>
      </c>
      <c r="D14" s="139">
        <f>O24*B14+O24</f>
        <v>621.6</v>
      </c>
      <c r="E14" s="10" t="s">
        <v>0</v>
      </c>
      <c r="F14" s="21">
        <f t="shared" si="3"/>
        <v>6.2160000000000002</v>
      </c>
      <c r="G14" s="138">
        <v>9.5419999999999998</v>
      </c>
      <c r="H14" s="10" t="s">
        <v>0</v>
      </c>
      <c r="I14" s="22">
        <f t="shared" si="4"/>
        <v>9.5420000000000005E-2</v>
      </c>
      <c r="J14" s="18">
        <f t="shared" si="0"/>
        <v>16.2043</v>
      </c>
      <c r="K14" s="18">
        <f t="shared" si="1"/>
        <v>16.2043</v>
      </c>
      <c r="M14" s="154" t="s">
        <v>390</v>
      </c>
      <c r="N14" s="155"/>
      <c r="O14" s="180">
        <v>239</v>
      </c>
      <c r="P14" s="153"/>
      <c r="Q14" s="180">
        <v>234</v>
      </c>
      <c r="R14" s="182">
        <f t="shared" si="2"/>
        <v>2.1367521367521368E-2</v>
      </c>
      <c r="S14" s="154" t="s">
        <v>438</v>
      </c>
      <c r="T14" s="155"/>
      <c r="U14" s="149">
        <v>1300</v>
      </c>
      <c r="V14" s="153"/>
      <c r="Z14" s="149"/>
      <c r="AA14" s="149"/>
    </row>
    <row r="15" spans="1:27" ht="15" thickBot="1">
      <c r="A15" s="137" t="s">
        <v>339</v>
      </c>
      <c r="B15" s="164">
        <v>0.35</v>
      </c>
      <c r="C15" s="138">
        <v>1</v>
      </c>
      <c r="D15" s="139">
        <f>O28*B15+O28</f>
        <v>700.65</v>
      </c>
      <c r="E15" s="10" t="s">
        <v>0</v>
      </c>
      <c r="F15" s="21">
        <f t="shared" si="3"/>
        <v>7.0065</v>
      </c>
      <c r="G15" s="138">
        <v>11.212999999999999</v>
      </c>
      <c r="H15" s="10" t="s">
        <v>0</v>
      </c>
      <c r="I15" s="22">
        <f t="shared" si="4"/>
        <v>0.11212999999999999</v>
      </c>
      <c r="J15" s="18">
        <f t="shared" si="0"/>
        <v>18.713406249999998</v>
      </c>
      <c r="K15" s="18">
        <f t="shared" si="1"/>
        <v>18.713406249999998</v>
      </c>
      <c r="M15" s="154" t="s">
        <v>391</v>
      </c>
      <c r="N15" s="155"/>
      <c r="O15" s="180">
        <v>108</v>
      </c>
      <c r="P15" s="153"/>
      <c r="Q15" s="180">
        <v>108</v>
      </c>
      <c r="R15" s="182">
        <f t="shared" si="2"/>
        <v>0</v>
      </c>
      <c r="S15" s="154" t="s">
        <v>439</v>
      </c>
      <c r="T15" s="155"/>
      <c r="U15" s="149">
        <v>1350</v>
      </c>
      <c r="V15" s="153"/>
      <c r="Z15" s="149"/>
      <c r="AA15" s="149"/>
    </row>
    <row r="16" spans="1:27" ht="15" thickBot="1">
      <c r="A16" s="137" t="s">
        <v>340</v>
      </c>
      <c r="B16" s="164">
        <v>0.3</v>
      </c>
      <c r="C16" s="138">
        <v>1</v>
      </c>
      <c r="D16" s="139">
        <f>O32*B16+O32</f>
        <v>1024.4000000000001</v>
      </c>
      <c r="E16" s="10" t="s">
        <v>0</v>
      </c>
      <c r="F16" s="21">
        <f t="shared" si="3"/>
        <v>10.244000000000002</v>
      </c>
      <c r="G16" s="138">
        <v>12.1</v>
      </c>
      <c r="H16" s="10" t="s">
        <v>0</v>
      </c>
      <c r="I16" s="22">
        <f t="shared" si="4"/>
        <v>0.121</v>
      </c>
      <c r="J16" s="18">
        <f t="shared" si="0"/>
        <v>23.152010000000004</v>
      </c>
      <c r="K16" s="18">
        <f t="shared" si="1"/>
        <v>23.152010000000004</v>
      </c>
      <c r="M16" s="154" t="s">
        <v>392</v>
      </c>
      <c r="N16" s="155"/>
      <c r="O16" s="180">
        <v>223</v>
      </c>
      <c r="P16" s="153"/>
      <c r="Q16" s="180">
        <v>219</v>
      </c>
      <c r="R16" s="182">
        <f t="shared" si="2"/>
        <v>1.8264840182648401E-2</v>
      </c>
      <c r="S16" s="154" t="s">
        <v>440</v>
      </c>
      <c r="T16" s="155"/>
      <c r="U16" s="149">
        <v>1550</v>
      </c>
      <c r="V16" s="153"/>
      <c r="Z16" s="149"/>
      <c r="AA16" s="149"/>
    </row>
    <row r="17" spans="1:27" ht="15" thickBot="1">
      <c r="A17" s="137" t="s">
        <v>341</v>
      </c>
      <c r="B17" s="164">
        <v>0.25</v>
      </c>
      <c r="C17" s="138">
        <v>1</v>
      </c>
      <c r="D17" s="139">
        <f>O36*B17+O36</f>
        <v>1250</v>
      </c>
      <c r="E17" s="10" t="s">
        <v>0</v>
      </c>
      <c r="F17" s="21">
        <f t="shared" si="3"/>
        <v>12.5</v>
      </c>
      <c r="G17" s="138">
        <v>13.5</v>
      </c>
      <c r="H17" s="10" t="s">
        <v>0</v>
      </c>
      <c r="I17" s="22">
        <f t="shared" si="4"/>
        <v>0.13500000000000001</v>
      </c>
      <c r="J17" s="18">
        <f t="shared" si="0"/>
        <v>27.01125</v>
      </c>
      <c r="K17" s="18">
        <f t="shared" si="1"/>
        <v>27.01125</v>
      </c>
      <c r="M17" s="154" t="s">
        <v>393</v>
      </c>
      <c r="N17" s="155"/>
      <c r="O17" s="180">
        <v>552</v>
      </c>
      <c r="P17" s="153"/>
      <c r="Q17" s="180">
        <v>540</v>
      </c>
      <c r="R17" s="182">
        <f t="shared" si="2"/>
        <v>2.2222222222222223E-2</v>
      </c>
      <c r="S17" s="154" t="s">
        <v>441</v>
      </c>
      <c r="T17" s="155"/>
      <c r="U17" s="149">
        <v>1700</v>
      </c>
      <c r="V17" s="153"/>
      <c r="Z17" s="149"/>
      <c r="AA17" s="149"/>
    </row>
    <row r="18" spans="1:27" ht="15" thickBot="1">
      <c r="A18" s="137" t="s">
        <v>342</v>
      </c>
      <c r="B18" s="164">
        <v>0.2</v>
      </c>
      <c r="C18" s="138">
        <v>1</v>
      </c>
      <c r="D18" s="139">
        <f>O40*B18+O40</f>
        <v>1584</v>
      </c>
      <c r="E18" s="10" t="s">
        <v>0</v>
      </c>
      <c r="F18" s="21">
        <f t="shared" si="3"/>
        <v>15.84</v>
      </c>
      <c r="G18" s="138">
        <v>16.355</v>
      </c>
      <c r="H18" s="10" t="s">
        <v>0</v>
      </c>
      <c r="I18" s="22">
        <f t="shared" si="4"/>
        <v>0.16355</v>
      </c>
      <c r="J18" s="18">
        <f t="shared" si="0"/>
        <v>33.491500000000002</v>
      </c>
      <c r="K18" s="18">
        <f t="shared" si="1"/>
        <v>33.491500000000002</v>
      </c>
      <c r="M18" s="154" t="s">
        <v>394</v>
      </c>
      <c r="N18" s="155"/>
      <c r="O18" s="180">
        <v>367</v>
      </c>
      <c r="P18" s="153"/>
      <c r="Q18" s="180">
        <v>359</v>
      </c>
      <c r="R18" s="182">
        <f t="shared" si="2"/>
        <v>2.2284122562674095E-2</v>
      </c>
      <c r="S18" s="154" t="s">
        <v>442</v>
      </c>
      <c r="T18" s="155"/>
      <c r="U18" s="149">
        <v>2200</v>
      </c>
      <c r="V18" s="153"/>
      <c r="Z18" s="149"/>
      <c r="AA18" s="149"/>
    </row>
    <row r="19" spans="1:27" ht="15" thickBot="1">
      <c r="A19" s="137" t="s">
        <v>343</v>
      </c>
      <c r="B19" s="164">
        <v>0.15</v>
      </c>
      <c r="C19" s="138">
        <v>1</v>
      </c>
      <c r="D19" s="139">
        <f>O44*B19+O44</f>
        <v>1553.65</v>
      </c>
      <c r="E19" s="10" t="s">
        <v>0</v>
      </c>
      <c r="F19" s="21">
        <f t="shared" si="3"/>
        <v>15.5365</v>
      </c>
      <c r="G19" s="138">
        <v>18.774999999999999</v>
      </c>
      <c r="H19" s="10" t="s">
        <v>0</v>
      </c>
      <c r="I19" s="22">
        <f t="shared" si="4"/>
        <v>0.18774999999999997</v>
      </c>
      <c r="J19" s="18">
        <f t="shared" si="0"/>
        <v>35.528491250000002</v>
      </c>
      <c r="K19" s="18">
        <f t="shared" ref="K19:K43" si="5">IF(J19=0,0,J19/C19)</f>
        <v>35.528491250000002</v>
      </c>
      <c r="M19" s="154" t="s">
        <v>395</v>
      </c>
      <c r="N19" s="155"/>
      <c r="O19" s="180">
        <v>164</v>
      </c>
      <c r="P19" s="153"/>
      <c r="Q19" s="180">
        <v>164</v>
      </c>
      <c r="R19" s="182">
        <f t="shared" si="2"/>
        <v>0</v>
      </c>
      <c r="S19" s="154" t="s">
        <v>443</v>
      </c>
      <c r="T19" s="155"/>
      <c r="U19" s="149">
        <v>2600</v>
      </c>
      <c r="V19" s="153"/>
      <c r="Z19" s="149"/>
      <c r="AA19" s="149"/>
    </row>
    <row r="20" spans="1:27" ht="14" thickBot="1">
      <c r="A20" s="31"/>
      <c r="B20" s="36"/>
      <c r="C20" s="10"/>
      <c r="D20" s="20"/>
      <c r="E20" s="10"/>
      <c r="F20" s="21"/>
      <c r="G20" s="25"/>
      <c r="H20" s="10"/>
      <c r="I20" s="22"/>
      <c r="J20" s="18">
        <f t="shared" si="0"/>
        <v>0</v>
      </c>
      <c r="K20" s="18">
        <f t="shared" ref="K20:K31" si="6">IF(J20=0,0,J20/C20)</f>
        <v>0</v>
      </c>
      <c r="M20" s="154" t="s">
        <v>396</v>
      </c>
      <c r="N20" s="155"/>
      <c r="O20" s="180">
        <v>363</v>
      </c>
      <c r="P20" s="153"/>
      <c r="Q20" s="180">
        <v>356</v>
      </c>
      <c r="R20" s="182">
        <f t="shared" si="2"/>
        <v>1.9662921348314606E-2</v>
      </c>
      <c r="S20" s="154" t="s">
        <v>444</v>
      </c>
      <c r="T20" s="155"/>
      <c r="U20" s="149">
        <v>3500</v>
      </c>
      <c r="V20" s="153"/>
      <c r="Z20" s="149"/>
      <c r="AA20" s="149"/>
    </row>
    <row r="21" spans="1:27" ht="17" thickBot="1">
      <c r="A21" s="130" t="s">
        <v>377</v>
      </c>
      <c r="B21" s="129"/>
      <c r="C21" s="142"/>
      <c r="D21" s="184"/>
      <c r="E21" s="184"/>
      <c r="F21" s="144"/>
      <c r="G21" s="145"/>
      <c r="H21" s="143"/>
      <c r="I21" s="146"/>
      <c r="J21" s="18">
        <f t="shared" si="0"/>
        <v>0</v>
      </c>
      <c r="K21" s="18">
        <f t="shared" si="6"/>
        <v>0</v>
      </c>
      <c r="M21" s="154" t="s">
        <v>397</v>
      </c>
      <c r="N21" s="155"/>
      <c r="O21" s="180">
        <v>813</v>
      </c>
      <c r="P21" s="153"/>
      <c r="Q21" s="180">
        <v>795</v>
      </c>
      <c r="R21" s="182">
        <f t="shared" si="2"/>
        <v>2.2641509433962263E-2</v>
      </c>
      <c r="S21" s="158"/>
      <c r="T21" s="159"/>
      <c r="U21" s="160"/>
      <c r="V21" s="153"/>
      <c r="Z21" s="149"/>
      <c r="AA21" s="149"/>
    </row>
    <row r="22" spans="1:27" ht="15" thickBot="1">
      <c r="A22" s="140" t="s">
        <v>313</v>
      </c>
      <c r="B22" s="164">
        <v>0.6</v>
      </c>
      <c r="C22" s="138">
        <v>1</v>
      </c>
      <c r="D22" s="139">
        <f>O8*B22+O8</f>
        <v>115.19999999999999</v>
      </c>
      <c r="E22" s="10" t="s">
        <v>0</v>
      </c>
      <c r="F22" s="21">
        <f t="shared" ref="F22:F31" si="7">+(D22*C22)/100</f>
        <v>1.1519999999999999</v>
      </c>
      <c r="G22" s="138">
        <v>4.79</v>
      </c>
      <c r="H22" s="10" t="s">
        <v>0</v>
      </c>
      <c r="I22" s="22">
        <f t="shared" ref="I22:I31" si="8">+(G22*C22)/100</f>
        <v>4.7899999999999998E-2</v>
      </c>
      <c r="J22" s="18">
        <f t="shared" si="0"/>
        <v>5.9642799999999996</v>
      </c>
      <c r="K22" s="18">
        <f t="shared" si="6"/>
        <v>5.9642799999999996</v>
      </c>
      <c r="M22" s="154" t="s">
        <v>398</v>
      </c>
      <c r="N22" s="155"/>
      <c r="O22" s="180">
        <v>515</v>
      </c>
      <c r="P22" s="153"/>
      <c r="Q22" s="180">
        <v>504</v>
      </c>
      <c r="R22" s="182">
        <f t="shared" si="2"/>
        <v>2.1825396825396824E-2</v>
      </c>
      <c r="Z22" s="149"/>
      <c r="AA22" s="149"/>
    </row>
    <row r="23" spans="1:27" ht="15" thickBot="1">
      <c r="A23" s="140" t="s">
        <v>314</v>
      </c>
      <c r="B23" s="164">
        <v>0.55000000000000004</v>
      </c>
      <c r="C23" s="138">
        <v>1</v>
      </c>
      <c r="D23" s="139">
        <f>O12*B23+O12</f>
        <v>196.85000000000002</v>
      </c>
      <c r="E23" s="10" t="s">
        <v>0</v>
      </c>
      <c r="F23" s="21">
        <f t="shared" si="7"/>
        <v>1.9685000000000001</v>
      </c>
      <c r="G23" s="138">
        <v>5.0650000000000004</v>
      </c>
      <c r="H23" s="10" t="s">
        <v>0</v>
      </c>
      <c r="I23" s="22">
        <f t="shared" si="8"/>
        <v>5.0650000000000001E-2</v>
      </c>
      <c r="J23" s="18">
        <f t="shared" si="0"/>
        <v>7.1339712500000001</v>
      </c>
      <c r="K23" s="18">
        <f t="shared" si="6"/>
        <v>7.1339712500000001</v>
      </c>
      <c r="M23" s="154" t="s">
        <v>399</v>
      </c>
      <c r="N23" s="155"/>
      <c r="O23" s="180">
        <v>222</v>
      </c>
      <c r="P23" s="153"/>
      <c r="Q23" s="180">
        <v>222</v>
      </c>
      <c r="R23" s="182">
        <f t="shared" si="2"/>
        <v>0</v>
      </c>
      <c r="Z23" s="149"/>
      <c r="AA23" s="149"/>
    </row>
    <row r="24" spans="1:27" ht="15" thickBot="1">
      <c r="A24" s="140" t="s">
        <v>315</v>
      </c>
      <c r="B24" s="164">
        <v>0.5</v>
      </c>
      <c r="C24" s="138">
        <v>1</v>
      </c>
      <c r="D24" s="139">
        <f>O16*B24+O16</f>
        <v>334.5</v>
      </c>
      <c r="E24" s="10" t="s">
        <v>0</v>
      </c>
      <c r="F24" s="21">
        <f t="shared" si="7"/>
        <v>3.3450000000000002</v>
      </c>
      <c r="G24" s="138">
        <v>6.9050000000000002</v>
      </c>
      <c r="H24" s="10" t="s">
        <v>0</v>
      </c>
      <c r="I24" s="22">
        <f t="shared" si="8"/>
        <v>6.905E-2</v>
      </c>
      <c r="J24" s="18">
        <f t="shared" si="0"/>
        <v>10.454762500000001</v>
      </c>
      <c r="K24" s="18">
        <f t="shared" si="6"/>
        <v>10.454762500000001</v>
      </c>
      <c r="M24" s="154" t="s">
        <v>400</v>
      </c>
      <c r="N24" s="155"/>
      <c r="O24" s="180">
        <v>444</v>
      </c>
      <c r="P24" s="153"/>
      <c r="Q24" s="180">
        <v>435</v>
      </c>
      <c r="R24" s="182">
        <f t="shared" si="2"/>
        <v>2.0689655172413793E-2</v>
      </c>
      <c r="Z24" s="149"/>
      <c r="AA24" s="149"/>
    </row>
    <row r="25" spans="1:27" ht="15" thickBot="1">
      <c r="A25" s="140" t="s">
        <v>316</v>
      </c>
      <c r="B25" s="164">
        <v>0.45</v>
      </c>
      <c r="C25" s="138">
        <v>1</v>
      </c>
      <c r="D25" s="139">
        <f>O22*B25+O22</f>
        <v>746.75</v>
      </c>
      <c r="E25" s="10" t="s">
        <v>0</v>
      </c>
      <c r="F25" s="21">
        <f t="shared" si="7"/>
        <v>7.4675000000000002</v>
      </c>
      <c r="G25" s="138">
        <v>8.282</v>
      </c>
      <c r="H25" s="10" t="s">
        <v>0</v>
      </c>
      <c r="I25" s="22">
        <f t="shared" si="8"/>
        <v>8.2820000000000005E-2</v>
      </c>
      <c r="J25" s="18">
        <f t="shared" si="0"/>
        <v>16.349278750000003</v>
      </c>
      <c r="K25" s="18">
        <f t="shared" si="6"/>
        <v>16.349278750000003</v>
      </c>
      <c r="M25" s="154" t="s">
        <v>401</v>
      </c>
      <c r="N25" s="155"/>
      <c r="O25" s="180">
        <v>914</v>
      </c>
      <c r="P25" s="153"/>
      <c r="Q25" s="180">
        <v>895</v>
      </c>
      <c r="R25" s="182">
        <f t="shared" si="2"/>
        <v>2.1229050279329607E-2</v>
      </c>
      <c r="Z25" s="149"/>
      <c r="AA25" s="149"/>
    </row>
    <row r="26" spans="1:27" ht="15" thickBot="1">
      <c r="A26" s="140" t="s">
        <v>317</v>
      </c>
      <c r="B26" s="164">
        <v>0.4</v>
      </c>
      <c r="C26" s="138">
        <v>1</v>
      </c>
      <c r="D26" s="139">
        <f>O24*B26+O24</f>
        <v>621.6</v>
      </c>
      <c r="E26" s="10" t="s">
        <v>0</v>
      </c>
      <c r="F26" s="21">
        <f t="shared" si="7"/>
        <v>6.2160000000000002</v>
      </c>
      <c r="G26" s="138">
        <v>9.6630000000000003</v>
      </c>
      <c r="H26" s="10" t="s">
        <v>0</v>
      </c>
      <c r="I26" s="22">
        <f t="shared" si="8"/>
        <v>9.6630000000000008E-2</v>
      </c>
      <c r="J26" s="18">
        <f t="shared" si="0"/>
        <v>16.322880000000001</v>
      </c>
      <c r="K26" s="18">
        <f t="shared" si="6"/>
        <v>16.322880000000001</v>
      </c>
      <c r="M26" s="154" t="s">
        <v>402</v>
      </c>
      <c r="N26" s="155"/>
      <c r="O26" s="180">
        <v>641</v>
      </c>
      <c r="P26" s="153"/>
      <c r="Q26" s="180">
        <v>627</v>
      </c>
      <c r="R26" s="182">
        <f t="shared" si="2"/>
        <v>2.2328548644338118E-2</v>
      </c>
      <c r="Z26" s="149"/>
      <c r="AA26" s="149"/>
    </row>
    <row r="27" spans="1:27" ht="15" thickBot="1">
      <c r="A27" s="140" t="s">
        <v>318</v>
      </c>
      <c r="B27" s="164">
        <v>0.35</v>
      </c>
      <c r="C27" s="138">
        <v>1</v>
      </c>
      <c r="D27" s="139">
        <f>O28*B27+O28</f>
        <v>700.65</v>
      </c>
      <c r="E27" s="10" t="s">
        <v>0</v>
      </c>
      <c r="F27" s="21">
        <f t="shared" si="7"/>
        <v>7.0065</v>
      </c>
      <c r="G27" s="138">
        <v>11.391999999999999</v>
      </c>
      <c r="H27" s="10" t="s">
        <v>0</v>
      </c>
      <c r="I27" s="22">
        <f t="shared" si="8"/>
        <v>0.11391999999999999</v>
      </c>
      <c r="J27" s="18">
        <f t="shared" si="0"/>
        <v>18.888826250000001</v>
      </c>
      <c r="K27" s="18">
        <f t="shared" si="6"/>
        <v>18.888826250000001</v>
      </c>
      <c r="M27" s="154" t="s">
        <v>403</v>
      </c>
      <c r="N27" s="155"/>
      <c r="O27" s="180">
        <v>257</v>
      </c>
      <c r="P27" s="153"/>
      <c r="Q27" s="180">
        <v>257</v>
      </c>
      <c r="R27" s="182">
        <f t="shared" si="2"/>
        <v>0</v>
      </c>
      <c r="Z27" s="149"/>
      <c r="AA27" s="149"/>
    </row>
    <row r="28" spans="1:27" ht="15" thickBot="1">
      <c r="A28" s="140" t="s">
        <v>319</v>
      </c>
      <c r="B28" s="164">
        <v>0.3</v>
      </c>
      <c r="C28" s="138">
        <v>1</v>
      </c>
      <c r="D28" s="139">
        <f>O32*B28+O32</f>
        <v>1024.4000000000001</v>
      </c>
      <c r="E28" s="10" t="s">
        <v>0</v>
      </c>
      <c r="F28" s="21">
        <f t="shared" si="7"/>
        <v>10.244000000000002</v>
      </c>
      <c r="G28" s="138">
        <v>12.23</v>
      </c>
      <c r="H28" s="10" t="s">
        <v>0</v>
      </c>
      <c r="I28" s="22">
        <f t="shared" si="8"/>
        <v>0.12230000000000001</v>
      </c>
      <c r="J28" s="18">
        <f t="shared" si="0"/>
        <v>23.279410000000002</v>
      </c>
      <c r="K28" s="18">
        <f t="shared" si="6"/>
        <v>23.279410000000002</v>
      </c>
      <c r="M28" s="154" t="s">
        <v>404</v>
      </c>
      <c r="N28" s="155"/>
      <c r="O28" s="180">
        <v>519</v>
      </c>
      <c r="P28" s="153"/>
      <c r="Q28" s="180">
        <v>509</v>
      </c>
      <c r="R28" s="182">
        <f t="shared" si="2"/>
        <v>1.9646365422396856E-2</v>
      </c>
      <c r="Z28" s="149"/>
      <c r="AA28" s="149"/>
    </row>
    <row r="29" spans="1:27" ht="15" thickBot="1">
      <c r="A29" s="140" t="s">
        <v>320</v>
      </c>
      <c r="B29" s="164">
        <v>0.25</v>
      </c>
      <c r="C29" s="138">
        <v>1</v>
      </c>
      <c r="D29" s="139">
        <f>O36*B29+O36</f>
        <v>1250</v>
      </c>
      <c r="E29" s="10" t="s">
        <v>0</v>
      </c>
      <c r="F29" s="21">
        <f t="shared" si="7"/>
        <v>12.5</v>
      </c>
      <c r="G29" s="138">
        <v>13.65</v>
      </c>
      <c r="H29" s="10" t="s">
        <v>0</v>
      </c>
      <c r="I29" s="22">
        <f t="shared" si="8"/>
        <v>0.13650000000000001</v>
      </c>
      <c r="J29" s="18">
        <f t="shared" si="0"/>
        <v>27.158250000000002</v>
      </c>
      <c r="K29" s="18">
        <f t="shared" si="6"/>
        <v>27.158250000000002</v>
      </c>
      <c r="M29" s="154" t="s">
        <v>405</v>
      </c>
      <c r="N29" s="155"/>
      <c r="O29" s="180">
        <v>1121</v>
      </c>
      <c r="P29" s="153"/>
      <c r="Q29" s="180">
        <v>1097</v>
      </c>
      <c r="R29" s="182">
        <f t="shared" si="2"/>
        <v>2.187784867821331E-2</v>
      </c>
      <c r="Z29" s="149"/>
      <c r="AA29" s="149"/>
    </row>
    <row r="30" spans="1:27" ht="15" thickBot="1">
      <c r="A30" s="140" t="s">
        <v>321</v>
      </c>
      <c r="B30" s="164">
        <v>0.2</v>
      </c>
      <c r="C30" s="138">
        <v>1</v>
      </c>
      <c r="D30" s="139">
        <f>O40*B30+O40</f>
        <v>1584</v>
      </c>
      <c r="E30" s="10" t="s">
        <v>0</v>
      </c>
      <c r="F30" s="21">
        <f t="shared" si="7"/>
        <v>15.84</v>
      </c>
      <c r="G30" s="138">
        <v>16.535</v>
      </c>
      <c r="H30" s="10" t="s">
        <v>0</v>
      </c>
      <c r="I30" s="22">
        <f t="shared" si="8"/>
        <v>0.16535</v>
      </c>
      <c r="J30" s="18">
        <f t="shared" si="0"/>
        <v>33.667900000000003</v>
      </c>
      <c r="K30" s="18">
        <f t="shared" si="6"/>
        <v>33.667900000000003</v>
      </c>
      <c r="M30" s="154" t="s">
        <v>406</v>
      </c>
      <c r="N30" s="155"/>
      <c r="O30" s="180">
        <v>802</v>
      </c>
      <c r="P30" s="153"/>
      <c r="Q30" s="180">
        <v>785</v>
      </c>
      <c r="R30" s="182">
        <f t="shared" si="2"/>
        <v>2.1656050955414011E-2</v>
      </c>
      <c r="S30" s="175"/>
      <c r="Z30" s="149"/>
      <c r="AA30" s="149"/>
    </row>
    <row r="31" spans="1:27" ht="15" thickBot="1">
      <c r="A31" s="140" t="s">
        <v>322</v>
      </c>
      <c r="B31" s="164">
        <v>0.3</v>
      </c>
      <c r="C31" s="138">
        <v>1</v>
      </c>
      <c r="D31" s="139">
        <f>O44*B31+O44</f>
        <v>1756.3</v>
      </c>
      <c r="E31" s="10" t="s">
        <v>0</v>
      </c>
      <c r="F31" s="21">
        <f t="shared" si="7"/>
        <v>17.562999999999999</v>
      </c>
      <c r="G31" s="138">
        <v>18.975000000000001</v>
      </c>
      <c r="H31" s="10" t="s">
        <v>0</v>
      </c>
      <c r="I31" s="22">
        <f t="shared" si="8"/>
        <v>0.18975</v>
      </c>
      <c r="J31" s="18">
        <f t="shared" si="0"/>
        <v>37.958707500000003</v>
      </c>
      <c r="K31" s="18">
        <f t="shared" si="6"/>
        <v>37.958707500000003</v>
      </c>
      <c r="M31" s="154" t="s">
        <v>407</v>
      </c>
      <c r="N31" s="155"/>
      <c r="O31" s="180">
        <v>326</v>
      </c>
      <c r="P31" s="153"/>
      <c r="Q31" s="180">
        <v>326</v>
      </c>
      <c r="R31" s="182">
        <f t="shared" si="2"/>
        <v>0</v>
      </c>
      <c r="Z31" s="149"/>
      <c r="AA31" s="149"/>
    </row>
    <row r="32" spans="1:27" ht="14" thickBot="1">
      <c r="A32" s="31"/>
      <c r="B32" s="165"/>
      <c r="C32" s="10"/>
      <c r="D32" s="20"/>
      <c r="E32" s="10"/>
      <c r="F32" s="21"/>
      <c r="G32" s="25"/>
      <c r="H32" s="10"/>
      <c r="I32" s="22"/>
      <c r="J32" s="18"/>
      <c r="K32" s="18"/>
      <c r="M32" s="154" t="s">
        <v>408</v>
      </c>
      <c r="N32" s="155"/>
      <c r="O32" s="180">
        <v>788</v>
      </c>
      <c r="P32" s="153"/>
      <c r="Q32" s="180">
        <v>772</v>
      </c>
      <c r="R32" s="182">
        <f t="shared" si="2"/>
        <v>2.072538860103627E-2</v>
      </c>
      <c r="S32" t="s">
        <v>533</v>
      </c>
      <c r="Z32" s="149"/>
      <c r="AA32" s="149"/>
    </row>
    <row r="33" spans="1:27" ht="17" thickBot="1">
      <c r="A33" s="12" t="s">
        <v>344</v>
      </c>
      <c r="B33" s="131"/>
      <c r="C33" s="142"/>
      <c r="D33" s="184"/>
      <c r="E33" s="184"/>
      <c r="F33" s="144"/>
      <c r="G33" s="145"/>
      <c r="H33" s="143"/>
      <c r="I33" s="146"/>
      <c r="J33" s="18">
        <f t="shared" ref="J33:J68" si="9">+(((I33*$I$125)+(F33*(1+$E$125)))*(1+$C$131))</f>
        <v>0</v>
      </c>
      <c r="K33" s="18">
        <f t="shared" si="5"/>
        <v>0</v>
      </c>
      <c r="M33" s="154" t="s">
        <v>409</v>
      </c>
      <c r="N33" s="155"/>
      <c r="O33" s="180">
        <v>2112</v>
      </c>
      <c r="P33" s="153"/>
      <c r="Q33" s="180">
        <v>2068</v>
      </c>
      <c r="R33" s="182">
        <f t="shared" si="2"/>
        <v>2.1276595744680851E-2</v>
      </c>
      <c r="S33" t="s">
        <v>522</v>
      </c>
      <c r="V33">
        <v>390</v>
      </c>
      <c r="W33" s="181">
        <v>456</v>
      </c>
      <c r="Z33" s="149"/>
      <c r="AA33" s="149"/>
    </row>
    <row r="34" spans="1:27" ht="14" thickBot="1">
      <c r="A34" s="134" t="s">
        <v>293</v>
      </c>
      <c r="B34" s="164">
        <v>0.5</v>
      </c>
      <c r="C34" s="138">
        <v>1</v>
      </c>
      <c r="D34" s="133">
        <f>O9*B34+O9</f>
        <v>507</v>
      </c>
      <c r="E34" s="10" t="s">
        <v>0</v>
      </c>
      <c r="F34" s="21">
        <f t="shared" ref="F34:F43" si="10">+(D34*C34)/100</f>
        <v>5.07</v>
      </c>
      <c r="G34" s="132">
        <v>9.2240000000000002</v>
      </c>
      <c r="H34" s="10" t="s">
        <v>0</v>
      </c>
      <c r="I34" s="22">
        <f>+(G34*C34)/100</f>
        <v>9.2240000000000003E-2</v>
      </c>
      <c r="J34" s="18">
        <f t="shared" si="9"/>
        <v>14.629194999999999</v>
      </c>
      <c r="K34" s="18">
        <f t="shared" si="5"/>
        <v>14.629194999999999</v>
      </c>
      <c r="M34" s="154" t="s">
        <v>410</v>
      </c>
      <c r="N34" s="155"/>
      <c r="O34" s="180">
        <v>1591</v>
      </c>
      <c r="P34" s="153"/>
      <c r="Q34" s="180">
        <v>1557</v>
      </c>
      <c r="R34" s="182">
        <f t="shared" si="2"/>
        <v>2.1836865767501604E-2</v>
      </c>
      <c r="S34" t="s">
        <v>523</v>
      </c>
      <c r="W34" s="181">
        <v>675</v>
      </c>
      <c r="Z34" s="149"/>
      <c r="AA34" s="149"/>
    </row>
    <row r="35" spans="1:27" ht="14" thickBot="1">
      <c r="A35" s="134" t="s">
        <v>294</v>
      </c>
      <c r="B35" s="164">
        <v>0.45</v>
      </c>
      <c r="C35" s="138">
        <v>1</v>
      </c>
      <c r="D35" s="133">
        <f>O13*B35+O13</f>
        <v>501.70000000000005</v>
      </c>
      <c r="E35" s="10" t="s">
        <v>0</v>
      </c>
      <c r="F35" s="21">
        <f t="shared" si="10"/>
        <v>5.0170000000000003</v>
      </c>
      <c r="G35" s="132">
        <v>9.8529999999999998</v>
      </c>
      <c r="H35" s="10" t="s">
        <v>0</v>
      </c>
      <c r="I35" s="22">
        <f t="shared" ref="I35:I43" si="11">+(G35*C35)/100</f>
        <v>9.8529999999999993E-2</v>
      </c>
      <c r="J35" s="18">
        <f t="shared" si="9"/>
        <v>15.187182499999999</v>
      </c>
      <c r="K35" s="18">
        <f t="shared" si="5"/>
        <v>15.187182499999999</v>
      </c>
      <c r="M35" s="154" t="s">
        <v>411</v>
      </c>
      <c r="N35" s="155"/>
      <c r="O35" s="180">
        <v>506</v>
      </c>
      <c r="P35" s="153"/>
      <c r="Q35" s="180">
        <v>506</v>
      </c>
      <c r="R35" s="182">
        <f t="shared" si="2"/>
        <v>0</v>
      </c>
      <c r="S35" t="s">
        <v>524</v>
      </c>
      <c r="W35" s="181"/>
      <c r="Z35" s="149"/>
      <c r="AA35" s="149"/>
    </row>
    <row r="36" spans="1:27" ht="14" thickBot="1">
      <c r="A36" s="134" t="s">
        <v>295</v>
      </c>
      <c r="B36" s="164">
        <v>0.4</v>
      </c>
      <c r="C36" s="138">
        <v>1</v>
      </c>
      <c r="D36" s="133">
        <f>O17*B36+O17</f>
        <v>772.8</v>
      </c>
      <c r="E36" s="10" t="s">
        <v>0</v>
      </c>
      <c r="F36" s="21">
        <f t="shared" si="10"/>
        <v>7.7279999999999998</v>
      </c>
      <c r="G36" s="132">
        <v>10.823</v>
      </c>
      <c r="H36" s="10" t="s">
        <v>0</v>
      </c>
      <c r="I36" s="22">
        <f t="shared" si="11"/>
        <v>0.10823000000000001</v>
      </c>
      <c r="J36" s="18">
        <f t="shared" si="9"/>
        <v>19.126660000000001</v>
      </c>
      <c r="K36" s="18">
        <f t="shared" si="5"/>
        <v>19.126660000000001</v>
      </c>
      <c r="M36" s="154" t="s">
        <v>412</v>
      </c>
      <c r="N36" s="155"/>
      <c r="O36" s="180">
        <v>1000</v>
      </c>
      <c r="P36" s="153"/>
      <c r="Q36" s="180">
        <v>979</v>
      </c>
      <c r="R36" s="182">
        <f t="shared" si="2"/>
        <v>2.1450459652706845E-2</v>
      </c>
      <c r="S36" t="s">
        <v>525</v>
      </c>
      <c r="W36" s="181">
        <v>637</v>
      </c>
      <c r="Z36" s="149"/>
      <c r="AA36" s="149"/>
    </row>
    <row r="37" spans="1:27" ht="14" thickBot="1">
      <c r="A37" s="134" t="s">
        <v>296</v>
      </c>
      <c r="B37" s="164">
        <v>0.4</v>
      </c>
      <c r="C37" s="138">
        <v>1</v>
      </c>
      <c r="D37" s="133">
        <f>O21*B37+O21</f>
        <v>1138.2</v>
      </c>
      <c r="E37" s="10" t="s">
        <v>0</v>
      </c>
      <c r="F37" s="21">
        <f t="shared" si="10"/>
        <v>11.382</v>
      </c>
      <c r="G37" s="132">
        <v>14.625</v>
      </c>
      <c r="H37" s="10" t="s">
        <v>0</v>
      </c>
      <c r="I37" s="22">
        <f t="shared" si="11"/>
        <v>0.14624999999999999</v>
      </c>
      <c r="J37" s="18">
        <f t="shared" si="9"/>
        <v>26.881155</v>
      </c>
      <c r="K37" s="18">
        <f t="shared" si="5"/>
        <v>26.881155</v>
      </c>
      <c r="M37" s="154" t="s">
        <v>413</v>
      </c>
      <c r="N37" s="155"/>
      <c r="O37" s="180">
        <v>2395</v>
      </c>
      <c r="P37" s="153"/>
      <c r="Q37" s="180">
        <v>2344</v>
      </c>
      <c r="R37" s="182">
        <f t="shared" si="2"/>
        <v>2.1757679180887373E-2</v>
      </c>
      <c r="S37" t="s">
        <v>526</v>
      </c>
      <c r="W37" s="181">
        <v>927</v>
      </c>
      <c r="Z37" s="149"/>
      <c r="AA37" s="149"/>
    </row>
    <row r="38" spans="1:27" ht="14" thickBot="1">
      <c r="A38" s="134" t="s">
        <v>297</v>
      </c>
      <c r="B38" s="164">
        <v>0.4</v>
      </c>
      <c r="C38" s="138">
        <v>1</v>
      </c>
      <c r="D38" s="133">
        <f>O25*B38+O25</f>
        <v>1279.5999999999999</v>
      </c>
      <c r="E38" s="10" t="s">
        <v>0</v>
      </c>
      <c r="F38" s="21">
        <f t="shared" si="10"/>
        <v>12.795999999999999</v>
      </c>
      <c r="G38" s="132">
        <v>16.46</v>
      </c>
      <c r="H38" s="10" t="s">
        <v>0</v>
      </c>
      <c r="I38" s="22">
        <f t="shared" si="11"/>
        <v>0.1646</v>
      </c>
      <c r="J38" s="18">
        <f t="shared" si="9"/>
        <v>30.238390000000003</v>
      </c>
      <c r="K38" s="18">
        <f t="shared" si="5"/>
        <v>30.238390000000003</v>
      </c>
      <c r="M38" s="154" t="s">
        <v>414</v>
      </c>
      <c r="N38" s="155"/>
      <c r="O38" s="180">
        <v>2082</v>
      </c>
      <c r="P38" s="153"/>
      <c r="Q38" s="180">
        <v>2038</v>
      </c>
      <c r="R38" s="182">
        <f t="shared" si="2"/>
        <v>2.1589793915603533E-2</v>
      </c>
      <c r="S38" t="s">
        <v>527</v>
      </c>
      <c r="W38" s="181">
        <v>1538</v>
      </c>
      <c r="Z38" s="149"/>
      <c r="AA38" s="149"/>
    </row>
    <row r="39" spans="1:27" ht="14" thickBot="1">
      <c r="A39" s="134" t="s">
        <v>298</v>
      </c>
      <c r="B39" s="164">
        <v>0.35</v>
      </c>
      <c r="C39" s="138">
        <v>1</v>
      </c>
      <c r="D39" s="133">
        <f>O33*B39+O33</f>
        <v>2851.2</v>
      </c>
      <c r="E39" s="10" t="s">
        <v>0</v>
      </c>
      <c r="F39" s="21">
        <f t="shared" si="10"/>
        <v>28.511999999999997</v>
      </c>
      <c r="G39" s="132">
        <v>18.948</v>
      </c>
      <c r="H39" s="10" t="s">
        <v>0</v>
      </c>
      <c r="I39" s="22">
        <f t="shared" si="11"/>
        <v>0.18948000000000001</v>
      </c>
      <c r="J39" s="18">
        <f t="shared" si="9"/>
        <v>50.003519999999995</v>
      </c>
      <c r="K39" s="18">
        <f t="shared" si="5"/>
        <v>50.003519999999995</v>
      </c>
      <c r="M39" s="154" t="s">
        <v>415</v>
      </c>
      <c r="N39" s="155"/>
      <c r="O39" s="180">
        <v>615</v>
      </c>
      <c r="P39" s="153"/>
      <c r="Q39" s="180">
        <v>615</v>
      </c>
      <c r="R39" s="182">
        <f t="shared" si="2"/>
        <v>0</v>
      </c>
      <c r="W39" s="181"/>
      <c r="Z39" s="149"/>
      <c r="AA39" s="149"/>
    </row>
    <row r="40" spans="1:27" ht="14" thickBot="1">
      <c r="A40" s="134" t="s">
        <v>299</v>
      </c>
      <c r="B40" s="164">
        <v>0.3</v>
      </c>
      <c r="C40" s="138">
        <v>1</v>
      </c>
      <c r="D40" s="133">
        <f>O33*B40+O33</f>
        <v>2745.6</v>
      </c>
      <c r="E40" s="10" t="s">
        <v>0</v>
      </c>
      <c r="F40" s="21">
        <f t="shared" si="10"/>
        <v>27.456</v>
      </c>
      <c r="G40" s="132">
        <v>19.997</v>
      </c>
      <c r="H40" s="10" t="s">
        <v>0</v>
      </c>
      <c r="I40" s="22">
        <f t="shared" si="11"/>
        <v>0.19997000000000001</v>
      </c>
      <c r="J40" s="18">
        <f t="shared" si="9"/>
        <v>49.8673</v>
      </c>
      <c r="K40" s="18">
        <f t="shared" si="5"/>
        <v>49.8673</v>
      </c>
      <c r="M40" s="154" t="s">
        <v>416</v>
      </c>
      <c r="N40" s="155"/>
      <c r="O40" s="180">
        <v>1320</v>
      </c>
      <c r="P40" s="153"/>
      <c r="Q40" s="180">
        <v>1292</v>
      </c>
      <c r="R40" s="182">
        <f t="shared" si="2"/>
        <v>2.1671826625386997E-2</v>
      </c>
      <c r="W40" s="181"/>
      <c r="Z40" s="149"/>
      <c r="AA40" s="149"/>
    </row>
    <row r="41" spans="1:27" ht="14" thickBot="1">
      <c r="A41" s="134" t="s">
        <v>300</v>
      </c>
      <c r="B41" s="164">
        <v>0.25</v>
      </c>
      <c r="C41" s="138">
        <v>1</v>
      </c>
      <c r="D41" s="133">
        <f>O37*B41+O37</f>
        <v>2993.75</v>
      </c>
      <c r="E41" s="10" t="s">
        <v>0</v>
      </c>
      <c r="F41" s="21">
        <f t="shared" si="10"/>
        <v>29.9375</v>
      </c>
      <c r="G41" s="132">
        <v>23.898</v>
      </c>
      <c r="H41" s="10" t="s">
        <v>0</v>
      </c>
      <c r="I41" s="22">
        <f t="shared" si="11"/>
        <v>0.23898</v>
      </c>
      <c r="J41" s="18">
        <f t="shared" si="9"/>
        <v>56.426133749999998</v>
      </c>
      <c r="K41" s="18">
        <f t="shared" si="5"/>
        <v>56.426133749999998</v>
      </c>
      <c r="M41" s="154" t="s">
        <v>417</v>
      </c>
      <c r="N41" s="155"/>
      <c r="O41" s="180">
        <v>3139</v>
      </c>
      <c r="P41" s="153"/>
      <c r="Q41" s="180">
        <v>3073</v>
      </c>
      <c r="R41" s="182">
        <f t="shared" si="2"/>
        <v>2.1477383664171817E-2</v>
      </c>
      <c r="W41" s="181"/>
      <c r="Z41" s="149"/>
      <c r="AA41" s="149"/>
    </row>
    <row r="42" spans="1:27" ht="14" thickBot="1">
      <c r="A42" s="134" t="s">
        <v>301</v>
      </c>
      <c r="B42" s="164">
        <v>0.2</v>
      </c>
      <c r="C42" s="138">
        <v>1</v>
      </c>
      <c r="D42" s="133">
        <f>O41*B42+O41</f>
        <v>3766.8</v>
      </c>
      <c r="E42" s="10" t="s">
        <v>0</v>
      </c>
      <c r="F42" s="21">
        <f t="shared" si="10"/>
        <v>37.667999999999999</v>
      </c>
      <c r="G42" s="132">
        <v>27.719000000000001</v>
      </c>
      <c r="H42" s="10" t="s">
        <v>0</v>
      </c>
      <c r="I42" s="22">
        <f t="shared" si="11"/>
        <v>0.27718999999999999</v>
      </c>
      <c r="J42" s="18">
        <f t="shared" si="9"/>
        <v>68.69359</v>
      </c>
      <c r="K42" s="18">
        <f t="shared" si="5"/>
        <v>68.69359</v>
      </c>
      <c r="M42" s="154" t="s">
        <v>418</v>
      </c>
      <c r="N42" s="155"/>
      <c r="O42" s="180">
        <v>2448</v>
      </c>
      <c r="P42" s="153"/>
      <c r="Q42" s="180">
        <v>2397</v>
      </c>
      <c r="R42" s="182">
        <f t="shared" si="2"/>
        <v>2.1276595744680851E-2</v>
      </c>
      <c r="S42" t="s">
        <v>534</v>
      </c>
      <c r="W42" s="181"/>
      <c r="Z42" s="149"/>
      <c r="AA42" s="149"/>
    </row>
    <row r="43" spans="1:27" ht="14" thickBot="1">
      <c r="A43" s="134" t="s">
        <v>302</v>
      </c>
      <c r="B43" s="164">
        <v>0.2</v>
      </c>
      <c r="C43" s="138">
        <v>1</v>
      </c>
      <c r="D43" s="133">
        <f>O45*B43+O45</f>
        <v>3981.6</v>
      </c>
      <c r="E43" s="10" t="s">
        <v>0</v>
      </c>
      <c r="F43" s="21">
        <f t="shared" si="10"/>
        <v>39.816000000000003</v>
      </c>
      <c r="G43" s="132">
        <v>32.883000000000003</v>
      </c>
      <c r="H43" s="10" t="s">
        <v>0</v>
      </c>
      <c r="I43" s="22">
        <f t="shared" si="11"/>
        <v>0.32883000000000001</v>
      </c>
      <c r="J43" s="18">
        <f t="shared" si="9"/>
        <v>76.12248000000001</v>
      </c>
      <c r="K43" s="18">
        <f t="shared" si="5"/>
        <v>76.12248000000001</v>
      </c>
      <c r="M43" s="154" t="s">
        <v>419</v>
      </c>
      <c r="N43" s="155"/>
      <c r="O43" s="180">
        <v>785</v>
      </c>
      <c r="P43" s="153"/>
      <c r="Q43" s="180">
        <v>785</v>
      </c>
      <c r="R43" s="182">
        <f t="shared" si="2"/>
        <v>0</v>
      </c>
      <c r="S43" t="s">
        <v>522</v>
      </c>
      <c r="W43" s="181"/>
      <c r="Z43" s="149"/>
      <c r="AA43" s="149"/>
    </row>
    <row r="44" spans="1:27" ht="14" thickBot="1">
      <c r="A44" s="31"/>
      <c r="B44" s="36"/>
      <c r="C44" s="10"/>
      <c r="D44" s="20"/>
      <c r="E44" s="10"/>
      <c r="F44" s="21"/>
      <c r="G44" s="25"/>
      <c r="H44" s="10"/>
      <c r="I44" s="22"/>
      <c r="J44" s="18">
        <f t="shared" si="9"/>
        <v>0</v>
      </c>
      <c r="K44" s="18">
        <f t="shared" ref="K44:K55" si="12">IF(J44=0,0,J44/C44)</f>
        <v>0</v>
      </c>
      <c r="M44" s="154" t="s">
        <v>420</v>
      </c>
      <c r="N44" s="155"/>
      <c r="O44" s="180">
        <v>1351</v>
      </c>
      <c r="P44" s="153"/>
      <c r="Q44" s="180">
        <v>1322</v>
      </c>
      <c r="R44" s="182">
        <f t="shared" si="2"/>
        <v>2.1936459909228441E-2</v>
      </c>
      <c r="S44" t="s">
        <v>528</v>
      </c>
      <c r="W44" s="181"/>
      <c r="Z44" s="149"/>
      <c r="AA44" s="149"/>
    </row>
    <row r="45" spans="1:27" ht="17" thickBot="1">
      <c r="A45" s="12" t="s">
        <v>375</v>
      </c>
      <c r="B45" s="36"/>
      <c r="C45" s="142"/>
      <c r="D45" s="184"/>
      <c r="E45" s="184"/>
      <c r="F45" s="144"/>
      <c r="G45" s="145"/>
      <c r="H45" s="143"/>
      <c r="I45" s="146"/>
      <c r="J45" s="18">
        <f t="shared" si="9"/>
        <v>0</v>
      </c>
      <c r="K45" s="18">
        <f t="shared" si="12"/>
        <v>0</v>
      </c>
      <c r="M45" s="154" t="s">
        <v>421</v>
      </c>
      <c r="N45" s="155"/>
      <c r="O45" s="180">
        <v>3318</v>
      </c>
      <c r="P45" s="153"/>
      <c r="Q45" s="180">
        <v>3248</v>
      </c>
      <c r="R45" s="182">
        <f t="shared" si="2"/>
        <v>2.1551724137931036E-2</v>
      </c>
      <c r="S45" t="s">
        <v>529</v>
      </c>
      <c r="W45" s="181"/>
      <c r="Z45" s="149"/>
      <c r="AA45" s="149"/>
    </row>
    <row r="46" spans="1:27" ht="14" thickBot="1">
      <c r="A46" s="135" t="s">
        <v>303</v>
      </c>
      <c r="B46" s="164">
        <v>0.5</v>
      </c>
      <c r="C46" s="138">
        <v>1</v>
      </c>
      <c r="D46" s="133">
        <f>O10*B46+O10</f>
        <v>304.5</v>
      </c>
      <c r="E46" s="10" t="s">
        <v>0</v>
      </c>
      <c r="F46" s="21">
        <f t="shared" ref="F46:F55" si="13">+(D46*C46)/100</f>
        <v>3.0449999999999999</v>
      </c>
      <c r="G46" s="132">
        <v>7.524</v>
      </c>
      <c r="H46" s="10" t="s">
        <v>0</v>
      </c>
      <c r="I46" s="22">
        <f t="shared" ref="I46:I55" si="14">+(G46*C46)/100</f>
        <v>7.5240000000000001E-2</v>
      </c>
      <c r="J46" s="18">
        <f t="shared" si="9"/>
        <v>10.7306325</v>
      </c>
      <c r="K46" s="18">
        <f t="shared" si="12"/>
        <v>10.7306325</v>
      </c>
      <c r="M46" s="154" t="s">
        <v>422</v>
      </c>
      <c r="N46" s="155"/>
      <c r="O46" s="180">
        <v>2751</v>
      </c>
      <c r="P46" s="153"/>
      <c r="Q46" s="180">
        <v>2693</v>
      </c>
      <c r="R46" s="182">
        <f t="shared" si="2"/>
        <v>2.1537318975120682E-2</v>
      </c>
      <c r="S46" t="s">
        <v>530</v>
      </c>
      <c r="W46" s="181"/>
      <c r="Z46" s="149"/>
      <c r="AA46" s="149"/>
    </row>
    <row r="47" spans="1:27" ht="14" thickBot="1">
      <c r="A47" s="135" t="s">
        <v>304</v>
      </c>
      <c r="B47" s="164">
        <v>0.45</v>
      </c>
      <c r="C47" s="138">
        <v>1</v>
      </c>
      <c r="D47" s="133">
        <f>O14*B47+O14</f>
        <v>346.55</v>
      </c>
      <c r="E47" s="10" t="s">
        <v>0</v>
      </c>
      <c r="F47" s="21">
        <f t="shared" si="13"/>
        <v>3.4655</v>
      </c>
      <c r="G47" s="132">
        <v>8.4130000000000003</v>
      </c>
      <c r="H47" s="10" t="s">
        <v>0</v>
      </c>
      <c r="I47" s="22">
        <f t="shared" si="14"/>
        <v>8.4129999999999996E-2</v>
      </c>
      <c r="J47" s="18">
        <f t="shared" si="9"/>
        <v>12.06545375</v>
      </c>
      <c r="K47" s="18">
        <f t="shared" si="12"/>
        <v>12.06545375</v>
      </c>
      <c r="M47" s="154" t="s">
        <v>423</v>
      </c>
      <c r="N47" s="155"/>
      <c r="O47" s="180">
        <v>856</v>
      </c>
      <c r="P47" s="153"/>
      <c r="Q47" s="180">
        <v>856</v>
      </c>
      <c r="R47" s="182">
        <f t="shared" si="2"/>
        <v>0</v>
      </c>
      <c r="S47" t="s">
        <v>531</v>
      </c>
      <c r="W47" s="181"/>
      <c r="Z47" s="149"/>
      <c r="AA47" s="149"/>
    </row>
    <row r="48" spans="1:27" ht="14" thickBot="1">
      <c r="A48" s="135" t="s">
        <v>305</v>
      </c>
      <c r="B48" s="164">
        <v>0.4</v>
      </c>
      <c r="C48" s="138">
        <v>1</v>
      </c>
      <c r="D48" s="133">
        <f>O18*B48+O18</f>
        <v>513.79999999999995</v>
      </c>
      <c r="E48" s="10" t="s">
        <v>0</v>
      </c>
      <c r="F48" s="21">
        <f t="shared" si="13"/>
        <v>5.1379999999999999</v>
      </c>
      <c r="G48" s="132">
        <v>9.173</v>
      </c>
      <c r="H48" s="10" t="s">
        <v>0</v>
      </c>
      <c r="I48" s="22">
        <f t="shared" si="14"/>
        <v>9.1730000000000006E-2</v>
      </c>
      <c r="J48" s="18">
        <f t="shared" si="9"/>
        <v>14.654185</v>
      </c>
      <c r="K48" s="18">
        <f t="shared" si="12"/>
        <v>14.654185</v>
      </c>
      <c r="M48" s="154" t="s">
        <v>424</v>
      </c>
      <c r="N48" s="155"/>
      <c r="O48" s="180">
        <v>1204</v>
      </c>
      <c r="P48" s="153"/>
      <c r="Q48" s="180">
        <v>1204</v>
      </c>
      <c r="R48" s="182">
        <f t="shared" si="2"/>
        <v>0</v>
      </c>
      <c r="S48" t="s">
        <v>532</v>
      </c>
      <c r="W48" s="181"/>
      <c r="Z48" s="149"/>
      <c r="AA48" s="149"/>
    </row>
    <row r="49" spans="1:27" ht="14" thickBot="1">
      <c r="A49" s="135" t="s">
        <v>306</v>
      </c>
      <c r="B49" s="164">
        <v>0.4</v>
      </c>
      <c r="C49" s="138">
        <v>1</v>
      </c>
      <c r="D49" s="133">
        <f>O22*B49+O22</f>
        <v>721</v>
      </c>
      <c r="E49" s="10" t="s">
        <v>0</v>
      </c>
      <c r="F49" s="21">
        <f t="shared" si="13"/>
        <v>7.21</v>
      </c>
      <c r="G49" s="132">
        <v>9.702</v>
      </c>
      <c r="H49" s="10" t="s">
        <v>0</v>
      </c>
      <c r="I49" s="22">
        <f t="shared" si="14"/>
        <v>9.7019999999999995E-2</v>
      </c>
      <c r="J49" s="18">
        <f t="shared" si="9"/>
        <v>17.456985</v>
      </c>
      <c r="K49" s="18">
        <f t="shared" si="12"/>
        <v>17.456985</v>
      </c>
      <c r="M49" s="154" t="s">
        <v>425</v>
      </c>
      <c r="N49" s="155"/>
      <c r="O49" s="180">
        <v>1579</v>
      </c>
      <c r="P49" s="153"/>
      <c r="Q49" s="180">
        <v>1579</v>
      </c>
      <c r="R49" s="182">
        <f t="shared" si="2"/>
        <v>0</v>
      </c>
      <c r="W49" s="181"/>
      <c r="Z49" s="149"/>
      <c r="AA49" s="149"/>
    </row>
    <row r="50" spans="1:27" ht="14" thickBot="1">
      <c r="A50" s="135" t="s">
        <v>307</v>
      </c>
      <c r="B50" s="164">
        <v>0.4</v>
      </c>
      <c r="C50" s="138">
        <v>1</v>
      </c>
      <c r="D50" s="133">
        <f>O26*B50+O26</f>
        <v>897.40000000000009</v>
      </c>
      <c r="E50" s="10" t="s">
        <v>0</v>
      </c>
      <c r="F50" s="21">
        <f t="shared" si="13"/>
        <v>8.9740000000000002</v>
      </c>
      <c r="G50" s="132">
        <v>11.157</v>
      </c>
      <c r="H50" s="10" t="s">
        <v>0</v>
      </c>
      <c r="I50" s="22">
        <f t="shared" si="14"/>
        <v>0.11157</v>
      </c>
      <c r="J50" s="18">
        <f t="shared" si="9"/>
        <v>20.827695000000002</v>
      </c>
      <c r="K50" s="18">
        <f t="shared" si="12"/>
        <v>20.827695000000002</v>
      </c>
      <c r="M50" s="154" t="s">
        <v>426</v>
      </c>
      <c r="N50" s="155"/>
      <c r="O50" s="180">
        <v>6242</v>
      </c>
      <c r="P50" s="153"/>
      <c r="Q50" s="180">
        <v>6111</v>
      </c>
      <c r="R50" s="182">
        <f t="shared" si="2"/>
        <v>2.1436753395516282E-2</v>
      </c>
      <c r="W50" s="181"/>
      <c r="Z50" s="149"/>
      <c r="AA50" s="149"/>
    </row>
    <row r="51" spans="1:27" ht="14" thickBot="1">
      <c r="A51" s="135" t="s">
        <v>308</v>
      </c>
      <c r="B51" s="164">
        <v>0.35</v>
      </c>
      <c r="C51" s="138">
        <v>1</v>
      </c>
      <c r="D51" s="133">
        <f>O30*B51+O30</f>
        <v>1082.7</v>
      </c>
      <c r="E51" s="10" t="s">
        <v>0</v>
      </c>
      <c r="F51" s="21">
        <f t="shared" si="13"/>
        <v>10.827</v>
      </c>
      <c r="G51" s="132">
        <v>13.298</v>
      </c>
      <c r="H51" s="10" t="s">
        <v>0</v>
      </c>
      <c r="I51" s="22">
        <f t="shared" si="14"/>
        <v>0.13297999999999999</v>
      </c>
      <c r="J51" s="18">
        <f t="shared" si="9"/>
        <v>24.968807499999997</v>
      </c>
      <c r="K51" s="18">
        <f t="shared" si="12"/>
        <v>24.968807499999997</v>
      </c>
      <c r="M51" s="156" t="s">
        <v>427</v>
      </c>
      <c r="N51" s="157"/>
      <c r="O51" s="180">
        <v>8142</v>
      </c>
      <c r="P51" s="153"/>
      <c r="Q51" s="180">
        <v>7971</v>
      </c>
      <c r="R51" s="182">
        <f t="shared" si="2"/>
        <v>2.1452766277756868E-2</v>
      </c>
      <c r="Z51" s="149"/>
      <c r="AA51" s="149"/>
    </row>
    <row r="52" spans="1:27" ht="14" thickBot="1">
      <c r="A52" s="135" t="s">
        <v>309</v>
      </c>
      <c r="B52" s="164">
        <v>0.3</v>
      </c>
      <c r="C52" s="138">
        <v>1</v>
      </c>
      <c r="D52" s="133">
        <f>O34*B52+O34</f>
        <v>2068.3000000000002</v>
      </c>
      <c r="E52" s="10" t="s">
        <v>0</v>
      </c>
      <c r="F52" s="21">
        <f t="shared" si="13"/>
        <v>20.683000000000003</v>
      </c>
      <c r="G52" s="132">
        <v>14.798</v>
      </c>
      <c r="H52" s="10" t="s">
        <v>0</v>
      </c>
      <c r="I52" s="22">
        <f t="shared" si="14"/>
        <v>0.14798</v>
      </c>
      <c r="J52" s="18">
        <f t="shared" si="9"/>
        <v>37.305047500000001</v>
      </c>
      <c r="K52" s="18">
        <f t="shared" si="12"/>
        <v>37.305047500000001</v>
      </c>
      <c r="M52" s="158"/>
      <c r="N52" s="159"/>
      <c r="O52" s="160"/>
      <c r="P52" s="161"/>
      <c r="Z52" s="149"/>
      <c r="AA52" s="149"/>
    </row>
    <row r="53" spans="1:27" ht="14" thickBot="1">
      <c r="A53" s="135" t="s">
        <v>310</v>
      </c>
      <c r="B53" s="164">
        <v>0.25</v>
      </c>
      <c r="C53" s="138">
        <v>1</v>
      </c>
      <c r="D53" s="133">
        <f>O38*B53+O38</f>
        <v>2602.5</v>
      </c>
      <c r="E53" s="10" t="s">
        <v>0</v>
      </c>
      <c r="F53" s="21">
        <f t="shared" si="13"/>
        <v>26.024999999999999</v>
      </c>
      <c r="G53" s="132">
        <v>17.748000000000001</v>
      </c>
      <c r="H53" s="10" t="s">
        <v>0</v>
      </c>
      <c r="I53" s="22">
        <f t="shared" si="14"/>
        <v>0.17748</v>
      </c>
      <c r="J53" s="18">
        <f t="shared" si="9"/>
        <v>46.0856025</v>
      </c>
      <c r="K53" s="18">
        <f t="shared" si="12"/>
        <v>46.0856025</v>
      </c>
    </row>
    <row r="54" spans="1:27" ht="14" thickBot="1">
      <c r="A54" s="135" t="s">
        <v>311</v>
      </c>
      <c r="B54" s="164">
        <v>0.2</v>
      </c>
      <c r="C54" s="138">
        <v>1</v>
      </c>
      <c r="D54" s="133">
        <f>O42*B54+O42</f>
        <v>2937.6</v>
      </c>
      <c r="E54" s="10" t="s">
        <v>0</v>
      </c>
      <c r="F54" s="21">
        <f t="shared" si="13"/>
        <v>29.375999999999998</v>
      </c>
      <c r="G54" s="132">
        <v>21.417999999999999</v>
      </c>
      <c r="H54" s="10" t="s">
        <v>0</v>
      </c>
      <c r="I54" s="22">
        <f t="shared" si="14"/>
        <v>0.21417999999999998</v>
      </c>
      <c r="J54" s="18">
        <f t="shared" si="9"/>
        <v>53.376679999999993</v>
      </c>
      <c r="K54" s="18">
        <f t="shared" si="12"/>
        <v>53.376679999999993</v>
      </c>
    </row>
    <row r="55" spans="1:27" ht="14" thickBot="1">
      <c r="A55" s="136" t="s">
        <v>312</v>
      </c>
      <c r="B55" s="164">
        <v>0.2</v>
      </c>
      <c r="C55" s="138">
        <v>1</v>
      </c>
      <c r="D55" s="133">
        <f>O46*B55+O46</f>
        <v>3301.2</v>
      </c>
      <c r="E55" s="10" t="s">
        <v>0</v>
      </c>
      <c r="F55" s="21">
        <f t="shared" si="13"/>
        <v>33.012</v>
      </c>
      <c r="G55" s="132">
        <v>25.132999999999999</v>
      </c>
      <c r="H55" s="10" t="s">
        <v>0</v>
      </c>
      <c r="I55" s="22">
        <f t="shared" si="14"/>
        <v>0.25133</v>
      </c>
      <c r="J55" s="18">
        <f t="shared" si="9"/>
        <v>61.026070000000004</v>
      </c>
      <c r="K55" s="18">
        <f t="shared" si="12"/>
        <v>61.026070000000004</v>
      </c>
    </row>
    <row r="56" spans="1:27" ht="14" thickBot="1">
      <c r="A56" s="31"/>
      <c r="B56" s="165"/>
      <c r="C56" s="10"/>
      <c r="D56" s="20"/>
      <c r="E56" s="10"/>
      <c r="F56" s="21"/>
      <c r="G56" s="25"/>
      <c r="H56" s="10"/>
      <c r="I56" s="22"/>
      <c r="J56" s="18">
        <f t="shared" si="9"/>
        <v>0</v>
      </c>
      <c r="K56" s="18">
        <f t="shared" ref="K56:K67" si="15">IF(J56=0,0,J56/C56)</f>
        <v>0</v>
      </c>
    </row>
    <row r="57" spans="1:27" ht="17" thickBot="1">
      <c r="A57" s="183" t="s">
        <v>323</v>
      </c>
      <c r="B57" s="183"/>
      <c r="C57" s="142"/>
      <c r="D57" s="184"/>
      <c r="E57" s="184"/>
      <c r="F57" s="144"/>
      <c r="G57" s="145"/>
      <c r="H57" s="143"/>
      <c r="I57" s="146"/>
      <c r="J57" s="18">
        <f t="shared" si="9"/>
        <v>0</v>
      </c>
      <c r="K57" s="18">
        <f t="shared" si="15"/>
        <v>0</v>
      </c>
    </row>
    <row r="58" spans="1:27" ht="15" thickBot="1">
      <c r="A58" s="137" t="s">
        <v>324</v>
      </c>
      <c r="B58" s="164">
        <v>0.5</v>
      </c>
      <c r="C58" s="138">
        <v>1</v>
      </c>
      <c r="D58" s="139">
        <f>O11*B58+O11</f>
        <v>133.5</v>
      </c>
      <c r="E58" s="10" t="s">
        <v>0</v>
      </c>
      <c r="F58" s="21">
        <f t="shared" ref="F58:F68" si="16">+(D58*C58)/100</f>
        <v>1.335</v>
      </c>
      <c r="G58" s="138">
        <v>4.0579999999999998</v>
      </c>
      <c r="H58" s="10" t="s">
        <v>0</v>
      </c>
      <c r="I58" s="22">
        <f t="shared" ref="I58:I67" si="17">+(G58*C58)/100</f>
        <v>4.0579999999999998E-2</v>
      </c>
      <c r="J58" s="18">
        <f t="shared" si="9"/>
        <v>5.4486774999999996</v>
      </c>
      <c r="K58" s="18">
        <f t="shared" si="15"/>
        <v>5.4486774999999996</v>
      </c>
    </row>
    <row r="59" spans="1:27" ht="15" thickBot="1">
      <c r="A59" s="137" t="s">
        <v>325</v>
      </c>
      <c r="B59" s="164">
        <v>0.45</v>
      </c>
      <c r="C59" s="138">
        <v>1</v>
      </c>
      <c r="D59" s="139">
        <f>O15*B59+O15</f>
        <v>156.6</v>
      </c>
      <c r="E59" s="10" t="s">
        <v>0</v>
      </c>
      <c r="F59" s="21">
        <f t="shared" si="16"/>
        <v>1.5659999999999998</v>
      </c>
      <c r="G59" s="138">
        <v>4.6349999999999998</v>
      </c>
      <c r="H59" s="10" t="s">
        <v>0</v>
      </c>
      <c r="I59" s="22">
        <f t="shared" si="17"/>
        <v>4.6349999999999995E-2</v>
      </c>
      <c r="J59" s="18">
        <f t="shared" si="9"/>
        <v>6.2688149999999991</v>
      </c>
      <c r="K59" s="18">
        <f t="shared" si="15"/>
        <v>6.2688149999999991</v>
      </c>
    </row>
    <row r="60" spans="1:27" ht="15" thickBot="1">
      <c r="A60" s="137" t="s">
        <v>326</v>
      </c>
      <c r="B60" s="164">
        <v>0.4</v>
      </c>
      <c r="C60" s="138">
        <v>1</v>
      </c>
      <c r="D60" s="139">
        <f>O19*B60+O19</f>
        <v>229.60000000000002</v>
      </c>
      <c r="E60" s="10" t="s">
        <v>0</v>
      </c>
      <c r="F60" s="21">
        <f t="shared" si="16"/>
        <v>2.2960000000000003</v>
      </c>
      <c r="G60" s="138">
        <v>5.2649999999999997</v>
      </c>
      <c r="H60" s="10" t="s">
        <v>0</v>
      </c>
      <c r="I60" s="22">
        <f t="shared" si="17"/>
        <v>5.2649999999999995E-2</v>
      </c>
      <c r="J60" s="18">
        <f t="shared" si="9"/>
        <v>7.691040000000001</v>
      </c>
      <c r="K60" s="18">
        <f t="shared" si="15"/>
        <v>7.691040000000001</v>
      </c>
    </row>
    <row r="61" spans="1:27" ht="15" thickBot="1">
      <c r="A61" s="137" t="s">
        <v>327</v>
      </c>
      <c r="B61" s="164">
        <v>0.4</v>
      </c>
      <c r="C61" s="138">
        <v>1</v>
      </c>
      <c r="D61" s="139">
        <f>O23*B61+O23</f>
        <v>310.8</v>
      </c>
      <c r="E61" s="10" t="s">
        <v>0</v>
      </c>
      <c r="F61" s="21">
        <f t="shared" si="16"/>
        <v>3.1080000000000001</v>
      </c>
      <c r="G61" s="138">
        <v>5.17</v>
      </c>
      <c r="H61" s="10" t="s">
        <v>0</v>
      </c>
      <c r="I61" s="22">
        <f t="shared" si="17"/>
        <v>5.1699999999999996E-2</v>
      </c>
      <c r="J61" s="18">
        <f t="shared" si="9"/>
        <v>8.4931699999999992</v>
      </c>
      <c r="K61" s="18">
        <f t="shared" si="15"/>
        <v>8.4931699999999992</v>
      </c>
    </row>
    <row r="62" spans="1:27" ht="15" thickBot="1">
      <c r="A62" s="137" t="s">
        <v>328</v>
      </c>
      <c r="B62" s="164">
        <v>0.4</v>
      </c>
      <c r="C62" s="138">
        <v>1</v>
      </c>
      <c r="D62" s="139">
        <f>O27*B62+O27</f>
        <v>359.8</v>
      </c>
      <c r="E62" s="10" t="s">
        <v>0</v>
      </c>
      <c r="F62" s="21">
        <f t="shared" si="16"/>
        <v>3.5980000000000003</v>
      </c>
      <c r="G62" s="138">
        <v>5.86</v>
      </c>
      <c r="H62" s="10" t="s">
        <v>0</v>
      </c>
      <c r="I62" s="22">
        <f t="shared" si="17"/>
        <v>5.8600000000000006E-2</v>
      </c>
      <c r="J62" s="18">
        <f t="shared" si="9"/>
        <v>9.7095950000000002</v>
      </c>
      <c r="K62" s="18">
        <f t="shared" si="15"/>
        <v>9.7095950000000002</v>
      </c>
    </row>
    <row r="63" spans="1:27" ht="15" thickBot="1">
      <c r="A63" s="137" t="s">
        <v>329</v>
      </c>
      <c r="B63" s="164">
        <v>0.35</v>
      </c>
      <c r="C63" s="138">
        <v>1</v>
      </c>
      <c r="D63" s="139">
        <f>O31*B63+O31</f>
        <v>440.1</v>
      </c>
      <c r="E63" s="10" t="s">
        <v>0</v>
      </c>
      <c r="F63" s="21">
        <f t="shared" si="16"/>
        <v>4.4009999999999998</v>
      </c>
      <c r="G63" s="138">
        <v>6.6449999999999996</v>
      </c>
      <c r="H63" s="10" t="s">
        <v>0</v>
      </c>
      <c r="I63" s="22">
        <f t="shared" si="17"/>
        <v>6.6449999999999995E-2</v>
      </c>
      <c r="J63" s="18">
        <f t="shared" si="9"/>
        <v>11.364202499999999</v>
      </c>
      <c r="K63" s="18">
        <f t="shared" si="15"/>
        <v>11.364202499999999</v>
      </c>
    </row>
    <row r="64" spans="1:27" ht="15" thickBot="1">
      <c r="A64" s="137" t="s">
        <v>330</v>
      </c>
      <c r="B64" s="164">
        <v>0.3</v>
      </c>
      <c r="C64" s="138">
        <v>1</v>
      </c>
      <c r="D64" s="139">
        <f>O35*B64+O35</f>
        <v>657.8</v>
      </c>
      <c r="E64" s="10" t="s">
        <v>0</v>
      </c>
      <c r="F64" s="21">
        <f t="shared" si="16"/>
        <v>6.5779999999999994</v>
      </c>
      <c r="G64" s="138">
        <v>7.5650000000000004</v>
      </c>
      <c r="H64" s="10" t="s">
        <v>0</v>
      </c>
      <c r="I64" s="22">
        <f t="shared" si="17"/>
        <v>7.5650000000000009E-2</v>
      </c>
      <c r="J64" s="18">
        <f t="shared" si="9"/>
        <v>14.665945000000001</v>
      </c>
      <c r="K64" s="18">
        <f t="shared" si="15"/>
        <v>14.665945000000001</v>
      </c>
    </row>
    <row r="65" spans="1:11" ht="15" thickBot="1">
      <c r="A65" s="137" t="s">
        <v>331</v>
      </c>
      <c r="B65" s="164">
        <v>0.25</v>
      </c>
      <c r="C65" s="138">
        <v>1</v>
      </c>
      <c r="D65" s="139">
        <f>O39*B65+O39</f>
        <v>768.75</v>
      </c>
      <c r="E65" s="10" t="s">
        <v>0</v>
      </c>
      <c r="F65" s="21">
        <f t="shared" si="16"/>
        <v>7.6875</v>
      </c>
      <c r="G65" s="138">
        <v>8.58</v>
      </c>
      <c r="H65" s="10" t="s">
        <v>0</v>
      </c>
      <c r="I65" s="22">
        <f t="shared" si="17"/>
        <v>8.5800000000000001E-2</v>
      </c>
      <c r="J65" s="18">
        <f t="shared" si="9"/>
        <v>16.883868750000001</v>
      </c>
      <c r="K65" s="18">
        <f t="shared" si="15"/>
        <v>16.883868750000001</v>
      </c>
    </row>
    <row r="66" spans="1:11" ht="15" thickBot="1">
      <c r="A66" s="137" t="s">
        <v>332</v>
      </c>
      <c r="B66" s="164">
        <v>0.2</v>
      </c>
      <c r="C66" s="138">
        <v>1</v>
      </c>
      <c r="D66" s="139">
        <f>O43*B66+O43</f>
        <v>942</v>
      </c>
      <c r="E66" s="10" t="s">
        <v>0</v>
      </c>
      <c r="F66" s="21">
        <f t="shared" si="16"/>
        <v>9.42</v>
      </c>
      <c r="G66" s="138">
        <v>9.26</v>
      </c>
      <c r="H66" s="10" t="s">
        <v>0</v>
      </c>
      <c r="I66" s="22">
        <f t="shared" si="17"/>
        <v>9.2600000000000002E-2</v>
      </c>
      <c r="J66" s="18">
        <f t="shared" si="9"/>
        <v>19.460349999999998</v>
      </c>
      <c r="K66" s="18">
        <f t="shared" si="15"/>
        <v>19.460349999999998</v>
      </c>
    </row>
    <row r="67" spans="1:11" ht="15" thickBot="1">
      <c r="A67" s="137" t="s">
        <v>333</v>
      </c>
      <c r="B67" s="164">
        <v>0.2</v>
      </c>
      <c r="C67" s="138">
        <v>1</v>
      </c>
      <c r="D67" s="139">
        <f>O47*B67+O47</f>
        <v>1027.2</v>
      </c>
      <c r="E67" s="10" t="s">
        <v>0</v>
      </c>
      <c r="F67" s="21">
        <f t="shared" si="16"/>
        <v>10.272</v>
      </c>
      <c r="G67" s="138">
        <v>11.63</v>
      </c>
      <c r="H67" s="10" t="s">
        <v>0</v>
      </c>
      <c r="I67" s="22">
        <f t="shared" si="17"/>
        <v>0.11630000000000001</v>
      </c>
      <c r="J67" s="18">
        <f t="shared" si="9"/>
        <v>22.722280000000001</v>
      </c>
      <c r="K67" s="18">
        <f t="shared" si="15"/>
        <v>22.722280000000001</v>
      </c>
    </row>
    <row r="68" spans="1:11" ht="15" thickBot="1">
      <c r="A68" s="137" t="s">
        <v>428</v>
      </c>
      <c r="B68" s="164">
        <v>0.2</v>
      </c>
      <c r="C68" s="138">
        <v>1</v>
      </c>
      <c r="D68" s="139">
        <f>O48*B68+O48</f>
        <v>1444.8</v>
      </c>
      <c r="E68" s="10" t="s">
        <v>0</v>
      </c>
      <c r="F68" s="21">
        <f t="shared" si="16"/>
        <v>14.448</v>
      </c>
      <c r="G68" s="138">
        <v>13.47</v>
      </c>
      <c r="H68" s="10" t="s">
        <v>0</v>
      </c>
      <c r="I68" s="22">
        <f>+(G68*C68)/100</f>
        <v>0.13470000000000001</v>
      </c>
      <c r="J68" s="18">
        <f t="shared" si="9"/>
        <v>29.129520000000003</v>
      </c>
      <c r="K68" s="18">
        <f>IF(J68=0,0,J68/C68)</f>
        <v>29.129520000000003</v>
      </c>
    </row>
    <row r="69" spans="1:11" ht="14" thickBot="1">
      <c r="A69" s="31"/>
      <c r="B69" s="36"/>
      <c r="C69" s="10"/>
      <c r="D69" s="20"/>
      <c r="E69" s="10"/>
      <c r="F69" s="21"/>
      <c r="G69" s="25"/>
      <c r="H69" s="10"/>
      <c r="I69" s="22"/>
      <c r="J69" s="18"/>
      <c r="K69" s="18"/>
    </row>
    <row r="70" spans="1:11" ht="17" thickBot="1">
      <c r="A70" s="185" t="s">
        <v>345</v>
      </c>
      <c r="B70" s="185"/>
      <c r="C70" s="142"/>
      <c r="D70" s="184"/>
      <c r="E70" s="184"/>
      <c r="F70" s="144"/>
      <c r="G70" s="145"/>
      <c r="H70" s="143"/>
      <c r="I70" s="146"/>
      <c r="J70" s="18">
        <f t="shared" ref="J70:J80" si="18">+(((I70*$I$125)+(F70*(1+$E$125)))*(1+$C$131))</f>
        <v>0</v>
      </c>
      <c r="K70" s="18">
        <f t="shared" ref="K70:K80" si="19">IF(J70=0,0,J70/C70)</f>
        <v>0</v>
      </c>
    </row>
    <row r="71" spans="1:11" ht="15" thickBot="1">
      <c r="A71" s="137" t="s">
        <v>346</v>
      </c>
      <c r="B71" s="141"/>
      <c r="C71" s="138">
        <v>1</v>
      </c>
      <c r="D71" s="139">
        <v>8.9499999999999993</v>
      </c>
      <c r="E71" s="10" t="s">
        <v>1</v>
      </c>
      <c r="F71" s="21">
        <f t="shared" ref="F71:F80" si="20">+D71*C71</f>
        <v>8.9499999999999993</v>
      </c>
      <c r="G71" s="138">
        <v>12.093999999999999</v>
      </c>
      <c r="H71" s="10" t="s">
        <v>0</v>
      </c>
      <c r="I71" s="22">
        <f t="shared" ref="I71:I80" si="21">+(G71*C71)/100</f>
        <v>0.12093999999999999</v>
      </c>
      <c r="J71" s="18">
        <f t="shared" si="18"/>
        <v>21.719494999999998</v>
      </c>
      <c r="K71" s="18">
        <f t="shared" si="19"/>
        <v>21.719494999999998</v>
      </c>
    </row>
    <row r="72" spans="1:11" ht="15" thickBot="1">
      <c r="A72" s="137" t="s">
        <v>347</v>
      </c>
      <c r="B72" s="141"/>
      <c r="C72" s="138">
        <v>1</v>
      </c>
      <c r="D72" s="139">
        <v>10.02</v>
      </c>
      <c r="E72" s="10" t="s">
        <v>1</v>
      </c>
      <c r="F72" s="21">
        <f t="shared" si="20"/>
        <v>10.02</v>
      </c>
      <c r="G72" s="138">
        <v>13.773999999999999</v>
      </c>
      <c r="H72" s="10" t="s">
        <v>0</v>
      </c>
      <c r="I72" s="22">
        <f t="shared" si="21"/>
        <v>0.13774</v>
      </c>
      <c r="J72" s="18">
        <f t="shared" si="18"/>
        <v>24.545570000000001</v>
      </c>
      <c r="K72" s="18">
        <f t="shared" si="19"/>
        <v>24.545570000000001</v>
      </c>
    </row>
    <row r="73" spans="1:11" ht="15" thickBot="1">
      <c r="A73" s="137" t="s">
        <v>348</v>
      </c>
      <c r="B73" s="141"/>
      <c r="C73" s="138">
        <v>1</v>
      </c>
      <c r="D73" s="139">
        <v>11.03</v>
      </c>
      <c r="E73" s="10" t="s">
        <v>1</v>
      </c>
      <c r="F73" s="21">
        <f t="shared" si="20"/>
        <v>11.03</v>
      </c>
      <c r="G73" s="138">
        <v>13.16</v>
      </c>
      <c r="H73" s="10" t="s">
        <v>0</v>
      </c>
      <c r="I73" s="22">
        <f t="shared" si="21"/>
        <v>0.13159999999999999</v>
      </c>
      <c r="J73" s="18">
        <f t="shared" si="18"/>
        <v>25.057375</v>
      </c>
      <c r="K73" s="18">
        <f t="shared" si="19"/>
        <v>25.057375</v>
      </c>
    </row>
    <row r="74" spans="1:11" ht="15" thickBot="1">
      <c r="A74" s="137" t="s">
        <v>349</v>
      </c>
      <c r="B74" s="141"/>
      <c r="C74" s="138">
        <v>1</v>
      </c>
      <c r="D74" s="139">
        <v>13.26</v>
      </c>
      <c r="E74" s="10" t="s">
        <v>1</v>
      </c>
      <c r="F74" s="21">
        <f t="shared" si="20"/>
        <v>13.26</v>
      </c>
      <c r="G74" s="138">
        <v>14.84</v>
      </c>
      <c r="H74" s="10" t="s">
        <v>0</v>
      </c>
      <c r="I74" s="22">
        <f t="shared" si="21"/>
        <v>0.1484</v>
      </c>
      <c r="J74" s="18">
        <f t="shared" si="18"/>
        <v>29.16235</v>
      </c>
      <c r="K74" s="18">
        <f t="shared" si="19"/>
        <v>29.16235</v>
      </c>
    </row>
    <row r="75" spans="1:11" ht="15" thickBot="1">
      <c r="A75" s="137" t="s">
        <v>350</v>
      </c>
      <c r="B75" s="141"/>
      <c r="C75" s="138">
        <v>1</v>
      </c>
      <c r="D75" s="139">
        <v>16.239999999999998</v>
      </c>
      <c r="E75" s="10" t="s">
        <v>1</v>
      </c>
      <c r="F75" s="21">
        <f t="shared" si="20"/>
        <v>16.239999999999998</v>
      </c>
      <c r="G75" s="138">
        <v>17.747</v>
      </c>
      <c r="H75" s="10" t="s">
        <v>0</v>
      </c>
      <c r="I75" s="22">
        <f t="shared" si="21"/>
        <v>0.17746999999999999</v>
      </c>
      <c r="J75" s="18">
        <f t="shared" si="18"/>
        <v>35.296659999999996</v>
      </c>
      <c r="K75" s="18">
        <f t="shared" si="19"/>
        <v>35.296659999999996</v>
      </c>
    </row>
    <row r="76" spans="1:11" ht="15" thickBot="1">
      <c r="A76" s="137" t="s">
        <v>351</v>
      </c>
      <c r="B76" s="141"/>
      <c r="C76" s="138">
        <v>1</v>
      </c>
      <c r="D76" s="139">
        <v>22.55</v>
      </c>
      <c r="E76" s="10" t="s">
        <v>1</v>
      </c>
      <c r="F76" s="21">
        <f t="shared" si="20"/>
        <v>22.55</v>
      </c>
      <c r="G76" s="138">
        <v>20.948</v>
      </c>
      <c r="H76" s="10" t="s">
        <v>0</v>
      </c>
      <c r="I76" s="22">
        <f t="shared" si="21"/>
        <v>0.20948</v>
      </c>
      <c r="J76" s="18">
        <f t="shared" si="18"/>
        <v>45.390415000000004</v>
      </c>
      <c r="K76" s="18">
        <f t="shared" si="19"/>
        <v>45.390415000000004</v>
      </c>
    </row>
    <row r="77" spans="1:11" ht="15" thickBot="1">
      <c r="A77" s="137" t="s">
        <v>352</v>
      </c>
      <c r="B77" s="141"/>
      <c r="C77" s="138">
        <v>1</v>
      </c>
      <c r="D77" s="139">
        <v>32.47</v>
      </c>
      <c r="E77" s="10" t="s">
        <v>1</v>
      </c>
      <c r="F77" s="21">
        <f t="shared" si="20"/>
        <v>32.47</v>
      </c>
      <c r="G77" s="138">
        <v>22.702000000000002</v>
      </c>
      <c r="H77" s="10" t="s">
        <v>0</v>
      </c>
      <c r="I77" s="22">
        <f t="shared" si="21"/>
        <v>0.22702000000000003</v>
      </c>
      <c r="J77" s="18">
        <f t="shared" si="18"/>
        <v>58.046135000000007</v>
      </c>
      <c r="K77" s="18">
        <f t="shared" si="19"/>
        <v>58.046135000000007</v>
      </c>
    </row>
    <row r="78" spans="1:11" ht="15" thickBot="1">
      <c r="A78" s="137" t="s">
        <v>353</v>
      </c>
      <c r="B78" s="141"/>
      <c r="C78" s="138">
        <v>1</v>
      </c>
      <c r="D78" s="139">
        <v>42.82</v>
      </c>
      <c r="E78" s="10" t="s">
        <v>1</v>
      </c>
      <c r="F78" s="21">
        <f t="shared" si="20"/>
        <v>42.82</v>
      </c>
      <c r="G78" s="138">
        <v>26.433</v>
      </c>
      <c r="H78" s="10" t="s">
        <v>0</v>
      </c>
      <c r="I78" s="22">
        <f t="shared" si="21"/>
        <v>0.26433000000000001</v>
      </c>
      <c r="J78" s="18">
        <f t="shared" si="18"/>
        <v>73.11339000000001</v>
      </c>
      <c r="K78" s="18">
        <f t="shared" si="19"/>
        <v>73.11339000000001</v>
      </c>
    </row>
    <row r="79" spans="1:11" ht="15" thickBot="1">
      <c r="A79" s="137" t="s">
        <v>354</v>
      </c>
      <c r="B79" s="141"/>
      <c r="C79" s="138">
        <v>1</v>
      </c>
      <c r="D79" s="139">
        <v>62.38</v>
      </c>
      <c r="E79" s="10" t="s">
        <v>1</v>
      </c>
      <c r="F79" s="21">
        <f t="shared" si="20"/>
        <v>62.38</v>
      </c>
      <c r="G79" s="138">
        <v>29.593</v>
      </c>
      <c r="H79" s="10" t="s">
        <v>0</v>
      </c>
      <c r="I79" s="22">
        <f t="shared" si="21"/>
        <v>0.29593000000000003</v>
      </c>
      <c r="J79" s="18">
        <f t="shared" si="18"/>
        <v>97.775090000000006</v>
      </c>
      <c r="K79" s="18">
        <f t="shared" si="19"/>
        <v>97.775090000000006</v>
      </c>
    </row>
    <row r="80" spans="1:11" ht="15" thickBot="1">
      <c r="A80" s="137" t="s">
        <v>355</v>
      </c>
      <c r="B80" s="141"/>
      <c r="C80" s="138">
        <v>1</v>
      </c>
      <c r="D80" s="139">
        <v>70.64</v>
      </c>
      <c r="E80" s="10" t="s">
        <v>1</v>
      </c>
      <c r="F80" s="21">
        <f t="shared" si="20"/>
        <v>70.64</v>
      </c>
      <c r="G80" s="138">
        <v>36.198</v>
      </c>
      <c r="H80" s="10" t="s">
        <v>0</v>
      </c>
      <c r="I80" s="22">
        <f t="shared" si="21"/>
        <v>0.36198000000000002</v>
      </c>
      <c r="J80" s="18">
        <f t="shared" si="18"/>
        <v>113.35464</v>
      </c>
      <c r="K80" s="18">
        <f t="shared" si="19"/>
        <v>113.35464</v>
      </c>
    </row>
    <row r="81" spans="1:21" ht="14" thickBot="1">
      <c r="A81" s="31"/>
      <c r="B81" s="36"/>
      <c r="C81" s="10"/>
      <c r="D81" s="20"/>
      <c r="E81" s="10"/>
      <c r="F81" s="21"/>
      <c r="G81" s="25"/>
      <c r="H81" s="10"/>
      <c r="I81" s="22"/>
      <c r="J81" s="18"/>
      <c r="K81" s="18"/>
    </row>
    <row r="82" spans="1:21" ht="17" thickBot="1">
      <c r="A82" s="30" t="s">
        <v>378</v>
      </c>
      <c r="B82" s="148" t="s">
        <v>380</v>
      </c>
      <c r="C82" s="142"/>
      <c r="D82" s="184"/>
      <c r="E82" s="184"/>
      <c r="F82" s="144"/>
      <c r="G82" s="145"/>
      <c r="H82" s="143"/>
      <c r="I82" s="146"/>
      <c r="J82" s="18"/>
      <c r="K82" s="18"/>
      <c r="Q82" t="s">
        <v>537</v>
      </c>
    </row>
    <row r="83" spans="1:21" ht="14" thickBot="1">
      <c r="A83" s="135" t="s">
        <v>356</v>
      </c>
      <c r="B83" s="180">
        <v>189</v>
      </c>
      <c r="C83" s="138">
        <v>1</v>
      </c>
      <c r="D83" s="133">
        <f>B83*0.15+B83</f>
        <v>217.35</v>
      </c>
      <c r="E83" s="132" t="s">
        <v>357</v>
      </c>
      <c r="F83" s="21">
        <f>+(D83*C83)/1000</f>
        <v>0.21734999999999999</v>
      </c>
      <c r="G83" s="132">
        <v>5.5</v>
      </c>
      <c r="H83" s="132" t="s">
        <v>458</v>
      </c>
      <c r="I83" s="22">
        <f>+(G83*C83)/1000</f>
        <v>5.4999999999999997E-3</v>
      </c>
      <c r="J83" s="18">
        <f t="shared" ref="J83:J101" si="22">+(((I83*$I$125)+(F83*(1+$E$125)))*(1+$C$131))</f>
        <v>0.77862837499999993</v>
      </c>
      <c r="K83" s="18">
        <f t="shared" ref="K83:K101" si="23">IF(J83=0,0,J83/C83)</f>
        <v>0.77862837499999993</v>
      </c>
      <c r="L83">
        <v>0.39</v>
      </c>
      <c r="O83" s="16"/>
      <c r="Q83" s="180">
        <v>193</v>
      </c>
      <c r="R83" s="182">
        <f>(B83-Q83)/Q83</f>
        <v>-2.072538860103627E-2</v>
      </c>
      <c r="S83" s="174"/>
      <c r="T83" s="171"/>
      <c r="U83" s="173"/>
    </row>
    <row r="84" spans="1:21" ht="14" thickBot="1">
      <c r="A84" s="136" t="s">
        <v>358</v>
      </c>
      <c r="B84" s="180">
        <v>288</v>
      </c>
      <c r="C84" s="138">
        <v>1</v>
      </c>
      <c r="D84" s="133">
        <f>B84*0.15+B84</f>
        <v>331.2</v>
      </c>
      <c r="E84" s="132" t="s">
        <v>357</v>
      </c>
      <c r="F84" s="21">
        <f t="shared" ref="F84:F101" si="24">+(D84*C84)/1000</f>
        <v>0.33119999999999999</v>
      </c>
      <c r="G84" s="132">
        <v>6</v>
      </c>
      <c r="H84" s="132" t="s">
        <v>458</v>
      </c>
      <c r="I84" s="22">
        <f t="shared" ref="I84:I101" si="25">+(G84*C84)/1000</f>
        <v>6.0000000000000001E-3</v>
      </c>
      <c r="J84" s="18">
        <f t="shared" si="22"/>
        <v>0.953148</v>
      </c>
      <c r="K84" s="18">
        <f t="shared" si="23"/>
        <v>0.953148</v>
      </c>
      <c r="L84">
        <v>0.6</v>
      </c>
      <c r="O84" s="16"/>
      <c r="Q84" s="180">
        <v>296</v>
      </c>
      <c r="R84" s="182">
        <f t="shared" ref="R84:R101" si="26">(B84-Q84)/Q84</f>
        <v>-2.7027027027027029E-2</v>
      </c>
      <c r="S84" s="174"/>
      <c r="T84" s="171"/>
      <c r="U84" s="173"/>
    </row>
    <row r="85" spans="1:21" ht="14" thickBot="1">
      <c r="A85" s="136" t="s">
        <v>369</v>
      </c>
      <c r="B85" s="180">
        <v>540</v>
      </c>
      <c r="C85" s="138">
        <v>1</v>
      </c>
      <c r="D85" s="133">
        <f>B85*0.1+B85</f>
        <v>594</v>
      </c>
      <c r="E85" s="132" t="s">
        <v>357</v>
      </c>
      <c r="F85" s="21">
        <f t="shared" si="24"/>
        <v>0.59399999999999997</v>
      </c>
      <c r="G85" s="132">
        <v>6.25</v>
      </c>
      <c r="H85" s="132" t="s">
        <v>458</v>
      </c>
      <c r="I85" s="22">
        <f t="shared" si="25"/>
        <v>6.2500000000000003E-3</v>
      </c>
      <c r="J85" s="18">
        <f t="shared" si="22"/>
        <v>1.267385</v>
      </c>
      <c r="K85" s="18">
        <f t="shared" si="23"/>
        <v>1.267385</v>
      </c>
      <c r="L85">
        <v>0.85</v>
      </c>
      <c r="O85" s="16"/>
      <c r="Q85" s="180">
        <v>539</v>
      </c>
      <c r="R85" s="182">
        <f t="shared" si="26"/>
        <v>1.8552875695732839E-3</v>
      </c>
      <c r="S85" s="174"/>
      <c r="T85" s="171"/>
      <c r="U85" s="173"/>
    </row>
    <row r="86" spans="1:21" ht="14" thickBot="1">
      <c r="A86" s="136" t="s">
        <v>370</v>
      </c>
      <c r="B86" s="180">
        <v>830</v>
      </c>
      <c r="C86" s="138">
        <v>1</v>
      </c>
      <c r="D86" s="133">
        <f>B86*0.1+B86</f>
        <v>913</v>
      </c>
      <c r="E86" s="132" t="s">
        <v>357</v>
      </c>
      <c r="F86" s="21">
        <f t="shared" si="24"/>
        <v>0.91300000000000003</v>
      </c>
      <c r="G86" s="132">
        <v>7</v>
      </c>
      <c r="H86" s="132" t="s">
        <v>458</v>
      </c>
      <c r="I86" s="22">
        <f t="shared" si="25"/>
        <v>7.0000000000000001E-3</v>
      </c>
      <c r="J86" s="18">
        <f t="shared" si="22"/>
        <v>1.6925825000000003</v>
      </c>
      <c r="K86" s="18">
        <f t="shared" si="23"/>
        <v>1.6925825000000003</v>
      </c>
      <c r="L86">
        <v>1.04</v>
      </c>
      <c r="O86" s="16"/>
      <c r="Q86" s="180">
        <v>829</v>
      </c>
      <c r="R86" s="182">
        <f t="shared" si="26"/>
        <v>1.2062726176115801E-3</v>
      </c>
      <c r="S86" s="174"/>
      <c r="T86" s="171"/>
      <c r="U86" s="173"/>
    </row>
    <row r="87" spans="1:21" ht="14" thickBot="1">
      <c r="A87" s="136" t="s">
        <v>371</v>
      </c>
      <c r="B87" s="180">
        <v>1270</v>
      </c>
      <c r="C87" s="138">
        <v>1</v>
      </c>
      <c r="D87" s="133">
        <f>B87*0.1+B87</f>
        <v>1397</v>
      </c>
      <c r="E87" s="132" t="s">
        <v>357</v>
      </c>
      <c r="F87" s="21">
        <f t="shared" si="24"/>
        <v>1.397</v>
      </c>
      <c r="G87" s="132">
        <v>8.5</v>
      </c>
      <c r="H87" s="132" t="s">
        <v>458</v>
      </c>
      <c r="I87" s="22">
        <f t="shared" si="25"/>
        <v>8.5000000000000006E-3</v>
      </c>
      <c r="J87" s="18">
        <f t="shared" si="22"/>
        <v>2.3731925</v>
      </c>
      <c r="K87" s="18">
        <f t="shared" si="23"/>
        <v>2.3731925</v>
      </c>
      <c r="L87">
        <v>1.33</v>
      </c>
      <c r="O87" s="16"/>
      <c r="Q87" s="180">
        <v>1268</v>
      </c>
      <c r="R87" s="182">
        <f t="shared" si="26"/>
        <v>1.5772870662460567E-3</v>
      </c>
      <c r="S87" s="174"/>
      <c r="T87" s="171"/>
      <c r="U87" s="173"/>
    </row>
    <row r="88" spans="1:21" ht="14" thickBot="1">
      <c r="A88" s="136" t="s">
        <v>372</v>
      </c>
      <c r="B88" s="180">
        <v>1602</v>
      </c>
      <c r="C88" s="138">
        <v>1</v>
      </c>
      <c r="D88" s="133">
        <f t="shared" ref="D88:D100" si="27">B88*0.05+B88</f>
        <v>1682.1</v>
      </c>
      <c r="E88" s="132" t="s">
        <v>357</v>
      </c>
      <c r="F88" s="21">
        <f t="shared" si="24"/>
        <v>1.6820999999999999</v>
      </c>
      <c r="G88" s="132">
        <v>9</v>
      </c>
      <c r="H88" s="132" t="s">
        <v>458</v>
      </c>
      <c r="I88" s="22">
        <f t="shared" si="25"/>
        <v>8.9999999999999993E-3</v>
      </c>
      <c r="J88" s="18">
        <f t="shared" si="22"/>
        <v>2.7365152500000001</v>
      </c>
      <c r="K88" s="18">
        <f t="shared" si="23"/>
        <v>2.7365152500000001</v>
      </c>
      <c r="L88">
        <v>1.51</v>
      </c>
      <c r="O88" s="16"/>
      <c r="Q88" s="180">
        <v>1599</v>
      </c>
      <c r="R88" s="182">
        <f t="shared" si="26"/>
        <v>1.876172607879925E-3</v>
      </c>
      <c r="S88" s="174"/>
      <c r="T88" s="171"/>
      <c r="U88" s="173"/>
    </row>
    <row r="89" spans="1:21" ht="14" thickBot="1">
      <c r="A89" s="136" t="s">
        <v>373</v>
      </c>
      <c r="B89" s="180">
        <v>2005</v>
      </c>
      <c r="C89" s="138">
        <v>1</v>
      </c>
      <c r="D89" s="133">
        <f t="shared" si="27"/>
        <v>2105.25</v>
      </c>
      <c r="E89" s="132" t="s">
        <v>357</v>
      </c>
      <c r="F89" s="21">
        <f t="shared" si="24"/>
        <v>2.1052499999999998</v>
      </c>
      <c r="G89" s="132">
        <v>10</v>
      </c>
      <c r="H89" s="132" t="s">
        <v>458</v>
      </c>
      <c r="I89" s="22">
        <f t="shared" si="25"/>
        <v>0.01</v>
      </c>
      <c r="J89" s="18">
        <f t="shared" si="22"/>
        <v>3.3010381249999998</v>
      </c>
      <c r="K89" s="18">
        <f t="shared" si="23"/>
        <v>3.3010381249999998</v>
      </c>
      <c r="L89">
        <v>1.7450000000000001</v>
      </c>
      <c r="O89" s="16"/>
      <c r="Q89" s="180">
        <v>2002</v>
      </c>
      <c r="R89" s="182">
        <f t="shared" si="26"/>
        <v>1.4985014985014985E-3</v>
      </c>
      <c r="S89" s="174"/>
      <c r="T89" s="171"/>
      <c r="U89" s="173"/>
    </row>
    <row r="90" spans="1:21" ht="14" thickBot="1">
      <c r="A90" s="136" t="s">
        <v>374</v>
      </c>
      <c r="B90" s="180">
        <v>2242</v>
      </c>
      <c r="C90" s="138">
        <v>1</v>
      </c>
      <c r="D90" s="133">
        <f t="shared" si="27"/>
        <v>2354.1</v>
      </c>
      <c r="E90" s="132" t="s">
        <v>357</v>
      </c>
      <c r="F90" s="21">
        <f t="shared" si="24"/>
        <v>2.3540999999999999</v>
      </c>
      <c r="G90" s="132">
        <v>11</v>
      </c>
      <c r="H90" s="132" t="s">
        <v>458</v>
      </c>
      <c r="I90" s="22">
        <f t="shared" si="25"/>
        <v>1.0999999999999999E-2</v>
      </c>
      <c r="J90" s="18">
        <f t="shared" si="22"/>
        <v>3.6733952499999996</v>
      </c>
      <c r="K90" s="18">
        <f t="shared" si="23"/>
        <v>3.6733952499999996</v>
      </c>
      <c r="L90">
        <v>2.13</v>
      </c>
      <c r="O90" s="16"/>
      <c r="Q90" s="180">
        <v>2238</v>
      </c>
      <c r="R90" s="182">
        <f t="shared" si="26"/>
        <v>1.7873100983020554E-3</v>
      </c>
      <c r="S90" s="174"/>
      <c r="T90" s="171"/>
      <c r="U90" s="173"/>
    </row>
    <row r="91" spans="1:21" ht="14" thickBot="1">
      <c r="A91" s="135" t="s">
        <v>359</v>
      </c>
      <c r="B91" s="180">
        <v>2745</v>
      </c>
      <c r="C91" s="138">
        <v>1</v>
      </c>
      <c r="D91" s="133">
        <f t="shared" si="27"/>
        <v>2882.25</v>
      </c>
      <c r="E91" s="132" t="s">
        <v>357</v>
      </c>
      <c r="F91" s="21">
        <f t="shared" si="24"/>
        <v>2.88225</v>
      </c>
      <c r="G91" s="132">
        <v>13</v>
      </c>
      <c r="H91" s="132" t="s">
        <v>458</v>
      </c>
      <c r="I91" s="22">
        <f t="shared" si="25"/>
        <v>1.2999999999999999E-2</v>
      </c>
      <c r="J91" s="18">
        <f t="shared" si="22"/>
        <v>4.4516806249999998</v>
      </c>
      <c r="K91" s="18">
        <f t="shared" si="23"/>
        <v>4.4516806249999998</v>
      </c>
      <c r="L91">
        <v>2.6</v>
      </c>
      <c r="O91" s="16"/>
      <c r="Q91" s="180">
        <v>2740</v>
      </c>
      <c r="R91" s="182">
        <f t="shared" si="26"/>
        <v>1.8248175182481751E-3</v>
      </c>
      <c r="S91" s="174"/>
      <c r="T91" s="171"/>
      <c r="U91" s="173"/>
    </row>
    <row r="92" spans="1:21" ht="14" thickBot="1">
      <c r="A92" s="135" t="s">
        <v>360</v>
      </c>
      <c r="B92" s="180">
        <v>3381</v>
      </c>
      <c r="C92" s="138">
        <v>1</v>
      </c>
      <c r="D92" s="133">
        <f t="shared" si="27"/>
        <v>3550.05</v>
      </c>
      <c r="E92" s="132" t="s">
        <v>357</v>
      </c>
      <c r="F92" s="21">
        <f t="shared" si="24"/>
        <v>3.5500500000000001</v>
      </c>
      <c r="G92" s="132">
        <v>15</v>
      </c>
      <c r="H92" s="132" t="s">
        <v>458</v>
      </c>
      <c r="I92" s="22">
        <f t="shared" si="25"/>
        <v>1.4999999999999999E-2</v>
      </c>
      <c r="J92" s="18">
        <f t="shared" si="22"/>
        <v>5.383930125</v>
      </c>
      <c r="K92" s="18">
        <f t="shared" si="23"/>
        <v>5.383930125</v>
      </c>
      <c r="L92">
        <v>3.05</v>
      </c>
      <c r="O92" s="16"/>
      <c r="Q92" s="180">
        <v>3376</v>
      </c>
      <c r="R92" s="182">
        <f t="shared" si="26"/>
        <v>1.4810426540284359E-3</v>
      </c>
      <c r="S92" s="174"/>
      <c r="T92" s="171"/>
      <c r="U92" s="173"/>
    </row>
    <row r="93" spans="1:21" ht="14" thickBot="1">
      <c r="A93" s="135" t="s">
        <v>361</v>
      </c>
      <c r="B93" s="180">
        <v>4267</v>
      </c>
      <c r="C93" s="138">
        <v>1</v>
      </c>
      <c r="D93" s="133">
        <f t="shared" si="27"/>
        <v>4480.3500000000004</v>
      </c>
      <c r="E93" s="132" t="s">
        <v>357</v>
      </c>
      <c r="F93" s="21">
        <f t="shared" si="24"/>
        <v>4.4803500000000005</v>
      </c>
      <c r="G93" s="132">
        <v>17</v>
      </c>
      <c r="H93" s="132" t="s">
        <v>458</v>
      </c>
      <c r="I93" s="22">
        <f t="shared" si="25"/>
        <v>1.7000000000000001E-2</v>
      </c>
      <c r="J93" s="18">
        <f t="shared" si="22"/>
        <v>6.6055858750000009</v>
      </c>
      <c r="K93" s="18">
        <f t="shared" si="23"/>
        <v>6.6055858750000009</v>
      </c>
      <c r="L93">
        <v>3.7</v>
      </c>
      <c r="O93" s="16"/>
      <c r="Q93" s="180">
        <v>4260</v>
      </c>
      <c r="R93" s="182">
        <f t="shared" si="26"/>
        <v>1.6431924882629107E-3</v>
      </c>
      <c r="S93" s="174"/>
      <c r="T93" s="171"/>
      <c r="U93" s="173"/>
    </row>
    <row r="94" spans="1:21" ht="14" thickBot="1">
      <c r="A94" s="135" t="s">
        <v>362</v>
      </c>
      <c r="B94" s="180">
        <v>5326</v>
      </c>
      <c r="C94" s="138">
        <v>1</v>
      </c>
      <c r="D94" s="133">
        <f t="shared" si="27"/>
        <v>5592.3</v>
      </c>
      <c r="E94" s="132" t="s">
        <v>357</v>
      </c>
      <c r="F94" s="21">
        <f t="shared" si="24"/>
        <v>5.5922999999999998</v>
      </c>
      <c r="G94" s="132">
        <v>19</v>
      </c>
      <c r="H94" s="132" t="s">
        <v>458</v>
      </c>
      <c r="I94" s="22">
        <f t="shared" si="25"/>
        <v>1.9E-2</v>
      </c>
      <c r="J94" s="18">
        <f t="shared" si="22"/>
        <v>8.0275107499999994</v>
      </c>
      <c r="K94" s="18">
        <f t="shared" si="23"/>
        <v>8.0275107499999994</v>
      </c>
      <c r="L94">
        <v>4.37</v>
      </c>
      <c r="O94" s="16"/>
      <c r="Q94" s="180">
        <v>5318</v>
      </c>
      <c r="R94" s="182">
        <f t="shared" si="26"/>
        <v>1.5043249341857841E-3</v>
      </c>
      <c r="S94" s="174"/>
      <c r="T94" s="171"/>
      <c r="U94" s="173"/>
    </row>
    <row r="95" spans="1:21" ht="14" thickBot="1">
      <c r="A95" s="135" t="s">
        <v>363</v>
      </c>
      <c r="B95" s="180">
        <v>6172</v>
      </c>
      <c r="C95" s="138">
        <v>1</v>
      </c>
      <c r="D95" s="133">
        <f t="shared" si="27"/>
        <v>6480.6</v>
      </c>
      <c r="E95" s="132" t="s">
        <v>357</v>
      </c>
      <c r="F95" s="21">
        <f t="shared" si="24"/>
        <v>6.4806000000000008</v>
      </c>
      <c r="G95" s="132">
        <v>22</v>
      </c>
      <c r="H95" s="132" t="s">
        <v>458</v>
      </c>
      <c r="I95" s="22">
        <f t="shared" si="25"/>
        <v>2.1999999999999999E-2</v>
      </c>
      <c r="J95" s="18">
        <f t="shared" si="22"/>
        <v>9.3008614999999999</v>
      </c>
      <c r="K95" s="18">
        <f t="shared" si="23"/>
        <v>9.3008614999999999</v>
      </c>
      <c r="L95">
        <v>5.1100000000000003</v>
      </c>
      <c r="O95" s="16"/>
      <c r="Q95" s="180">
        <v>6162</v>
      </c>
      <c r="R95" s="182">
        <f t="shared" si="26"/>
        <v>1.6228497241155468E-3</v>
      </c>
      <c r="S95" s="174"/>
      <c r="T95" s="171"/>
      <c r="U95" s="173"/>
    </row>
    <row r="96" spans="1:21" ht="14" thickBot="1">
      <c r="A96" s="135" t="s">
        <v>364</v>
      </c>
      <c r="B96" s="180">
        <v>7401</v>
      </c>
      <c r="C96" s="138">
        <v>1</v>
      </c>
      <c r="D96" s="133">
        <f t="shared" si="27"/>
        <v>7771.05</v>
      </c>
      <c r="E96" s="132" t="s">
        <v>357</v>
      </c>
      <c r="F96" s="21">
        <f t="shared" si="24"/>
        <v>7.7710499999999998</v>
      </c>
      <c r="G96" s="132">
        <v>25.5</v>
      </c>
      <c r="H96" s="132" t="s">
        <v>458</v>
      </c>
      <c r="I96" s="22">
        <f t="shared" si="25"/>
        <v>2.5499999999999998E-2</v>
      </c>
      <c r="J96" s="18">
        <f t="shared" si="22"/>
        <v>11.066582624999999</v>
      </c>
      <c r="K96" s="18">
        <f t="shared" si="23"/>
        <v>11.066582624999999</v>
      </c>
      <c r="L96">
        <v>5.83</v>
      </c>
      <c r="O96" s="16"/>
      <c r="Q96" s="180">
        <v>7389</v>
      </c>
      <c r="R96" s="182">
        <f t="shared" si="26"/>
        <v>1.6240357287860333E-3</v>
      </c>
      <c r="S96" s="174"/>
      <c r="T96" s="171"/>
      <c r="U96" s="173"/>
    </row>
    <row r="97" spans="1:21" ht="14" thickBot="1">
      <c r="A97" s="135" t="s">
        <v>365</v>
      </c>
      <c r="B97" s="180">
        <v>8666</v>
      </c>
      <c r="C97" s="138">
        <v>1</v>
      </c>
      <c r="D97" s="133">
        <f t="shared" si="27"/>
        <v>9099.2999999999993</v>
      </c>
      <c r="E97" s="132" t="s">
        <v>357</v>
      </c>
      <c r="F97" s="21">
        <f t="shared" si="24"/>
        <v>9.0992999999999995</v>
      </c>
      <c r="G97" s="132">
        <v>27</v>
      </c>
      <c r="H97" s="132" t="s">
        <v>458</v>
      </c>
      <c r="I97" s="22">
        <f t="shared" si="25"/>
        <v>2.7E-2</v>
      </c>
      <c r="J97" s="18">
        <f t="shared" si="22"/>
        <v>12.677978249999999</v>
      </c>
      <c r="K97" s="18">
        <f t="shared" si="23"/>
        <v>12.677978249999999</v>
      </c>
      <c r="L97">
        <v>6.68</v>
      </c>
      <c r="O97" s="16"/>
      <c r="Q97" s="180">
        <v>8652</v>
      </c>
      <c r="R97" s="182">
        <f t="shared" si="26"/>
        <v>1.6181229773462784E-3</v>
      </c>
      <c r="S97" s="174"/>
      <c r="T97" s="171"/>
      <c r="U97" s="173"/>
    </row>
    <row r="98" spans="1:21" ht="14" thickBot="1">
      <c r="A98" s="136" t="s">
        <v>379</v>
      </c>
      <c r="B98" s="180">
        <v>9858</v>
      </c>
      <c r="C98" s="138">
        <v>1</v>
      </c>
      <c r="D98" s="133">
        <f t="shared" si="27"/>
        <v>10350.9</v>
      </c>
      <c r="E98" s="132" t="s">
        <v>357</v>
      </c>
      <c r="F98" s="21">
        <f>+(D98*C98)/1000</f>
        <v>10.350899999999999</v>
      </c>
      <c r="G98" s="132">
        <v>29</v>
      </c>
      <c r="H98" s="132" t="s">
        <v>458</v>
      </c>
      <c r="I98" s="22">
        <f>+(G98*C98)/1000</f>
        <v>2.9000000000000001E-2</v>
      </c>
      <c r="J98" s="18">
        <f t="shared" si="22"/>
        <v>14.253867250000001</v>
      </c>
      <c r="K98" s="18">
        <f>IF(J98=0,0,J98/C98)</f>
        <v>14.253867250000001</v>
      </c>
      <c r="L98">
        <v>7.49</v>
      </c>
      <c r="O98" s="16"/>
      <c r="Q98" s="180">
        <v>9842</v>
      </c>
      <c r="R98" s="182">
        <f t="shared" si="26"/>
        <v>1.625685836212152E-3</v>
      </c>
      <c r="S98" s="174"/>
      <c r="T98" s="171"/>
      <c r="U98" s="173"/>
    </row>
    <row r="99" spans="1:21" ht="14" thickBot="1">
      <c r="A99" s="135" t="s">
        <v>366</v>
      </c>
      <c r="B99" s="180">
        <v>12191</v>
      </c>
      <c r="C99" s="138">
        <v>1</v>
      </c>
      <c r="D99" s="133">
        <f t="shared" si="27"/>
        <v>12800.55</v>
      </c>
      <c r="E99" s="132" t="s">
        <v>357</v>
      </c>
      <c r="F99" s="21">
        <f t="shared" si="24"/>
        <v>12.800549999999999</v>
      </c>
      <c r="G99" s="132">
        <v>33</v>
      </c>
      <c r="H99" s="132" t="s">
        <v>458</v>
      </c>
      <c r="I99" s="22">
        <f t="shared" si="25"/>
        <v>3.3000000000000002E-2</v>
      </c>
      <c r="J99" s="18">
        <f t="shared" si="22"/>
        <v>17.346606375</v>
      </c>
      <c r="K99" s="18">
        <f t="shared" si="23"/>
        <v>17.346606375</v>
      </c>
      <c r="L99">
        <v>8.52</v>
      </c>
      <c r="O99" s="16"/>
      <c r="Q99" s="180">
        <v>12436</v>
      </c>
      <c r="R99" s="182">
        <f t="shared" si="26"/>
        <v>-1.9700868446445804E-2</v>
      </c>
      <c r="S99" s="174"/>
      <c r="T99" s="171"/>
      <c r="U99" s="173"/>
    </row>
    <row r="100" spans="1:21" ht="14" thickBot="1">
      <c r="A100" s="135" t="s">
        <v>367</v>
      </c>
      <c r="B100" s="180">
        <v>15192</v>
      </c>
      <c r="C100" s="138">
        <v>1</v>
      </c>
      <c r="D100" s="133">
        <f t="shared" si="27"/>
        <v>15951.6</v>
      </c>
      <c r="E100" s="132" t="s">
        <v>357</v>
      </c>
      <c r="F100" s="21">
        <f t="shared" si="24"/>
        <v>15.951600000000001</v>
      </c>
      <c r="G100" s="132">
        <v>37</v>
      </c>
      <c r="H100" s="132" t="s">
        <v>458</v>
      </c>
      <c r="I100" s="22">
        <f t="shared" si="25"/>
        <v>3.6999999999999998E-2</v>
      </c>
      <c r="J100" s="18">
        <f t="shared" si="22"/>
        <v>21.212639000000003</v>
      </c>
      <c r="K100" s="18">
        <f t="shared" si="23"/>
        <v>21.212639000000003</v>
      </c>
      <c r="L100">
        <v>11.24</v>
      </c>
      <c r="O100" s="16"/>
      <c r="Q100" s="180">
        <v>15496</v>
      </c>
      <c r="R100" s="182">
        <f t="shared" si="26"/>
        <v>-1.961796592669076E-2</v>
      </c>
      <c r="S100" s="174"/>
      <c r="T100" s="171"/>
      <c r="U100" s="173"/>
    </row>
    <row r="101" spans="1:21" ht="14" thickBot="1">
      <c r="A101" s="135" t="s">
        <v>368</v>
      </c>
      <c r="B101" s="180">
        <v>26237</v>
      </c>
      <c r="C101" s="138">
        <v>1</v>
      </c>
      <c r="D101" s="133">
        <f>B101*0.1+B101</f>
        <v>28860.7</v>
      </c>
      <c r="E101" s="132" t="s">
        <v>357</v>
      </c>
      <c r="F101" s="21">
        <f t="shared" si="24"/>
        <v>28.860700000000001</v>
      </c>
      <c r="G101" s="132">
        <v>42</v>
      </c>
      <c r="H101" s="132" t="s">
        <v>458</v>
      </c>
      <c r="I101" s="22">
        <f t="shared" si="25"/>
        <v>4.2000000000000003E-2</v>
      </c>
      <c r="J101" s="18">
        <f t="shared" si="22"/>
        <v>35.934921750000001</v>
      </c>
      <c r="K101" s="18">
        <f t="shared" si="23"/>
        <v>35.934921750000001</v>
      </c>
      <c r="L101">
        <v>17.989999999999998</v>
      </c>
      <c r="O101" s="16"/>
      <c r="Q101" s="180">
        <v>26194</v>
      </c>
      <c r="R101" s="182">
        <f t="shared" si="26"/>
        <v>1.6415973123616095E-3</v>
      </c>
      <c r="S101" s="174"/>
      <c r="T101" s="171"/>
      <c r="U101" s="173"/>
    </row>
    <row r="102" spans="1:21" ht="14" thickBot="1">
      <c r="A102" s="135"/>
      <c r="B102" s="149"/>
      <c r="C102" s="132"/>
      <c r="D102" s="133"/>
      <c r="E102" s="132"/>
      <c r="F102" s="21"/>
      <c r="G102" s="132"/>
      <c r="H102" s="132"/>
      <c r="I102" s="22"/>
      <c r="J102" s="18"/>
      <c r="K102" s="18"/>
      <c r="O102" s="16"/>
      <c r="Q102" s="149"/>
      <c r="S102" s="174"/>
      <c r="T102" s="171"/>
      <c r="U102" s="173"/>
    </row>
    <row r="103" spans="1:21" ht="14" thickBot="1">
      <c r="A103" s="135"/>
      <c r="B103" s="149"/>
      <c r="C103" s="132"/>
      <c r="D103" s="133"/>
      <c r="E103" s="132"/>
      <c r="F103" s="21"/>
      <c r="G103" s="132"/>
      <c r="H103" s="132"/>
      <c r="I103" s="22"/>
      <c r="J103" s="18"/>
      <c r="K103" s="18"/>
      <c r="O103" s="16"/>
      <c r="Q103" s="149"/>
      <c r="S103" s="174"/>
      <c r="T103" s="171"/>
      <c r="U103" s="173"/>
    </row>
    <row r="104" spans="1:21" ht="14" thickBot="1">
      <c r="A104" s="135"/>
      <c r="B104" s="149"/>
      <c r="C104" s="132"/>
      <c r="D104" s="133"/>
      <c r="E104" s="132"/>
      <c r="F104" s="21"/>
      <c r="G104" s="132"/>
      <c r="H104" s="132"/>
      <c r="I104" s="22"/>
      <c r="J104" s="18"/>
      <c r="K104" s="18"/>
      <c r="O104" s="16"/>
      <c r="Q104" s="149"/>
    </row>
    <row r="105" spans="1:21" ht="14" thickBot="1">
      <c r="A105" s="135"/>
      <c r="B105" s="149"/>
      <c r="C105" s="132"/>
      <c r="D105" s="133"/>
      <c r="E105" s="132"/>
      <c r="F105" s="21"/>
      <c r="G105" s="132"/>
      <c r="H105" s="132"/>
      <c r="I105" s="22"/>
      <c r="J105" s="18"/>
      <c r="K105" s="18"/>
      <c r="O105" s="16"/>
      <c r="Q105" s="149"/>
    </row>
    <row r="106" spans="1:21" ht="14" thickBot="1">
      <c r="A106" s="135"/>
      <c r="B106" s="149"/>
      <c r="C106" s="132"/>
      <c r="D106" s="133"/>
      <c r="E106" s="132"/>
      <c r="F106" s="21"/>
      <c r="G106" s="132"/>
      <c r="H106" s="132"/>
      <c r="I106" s="22"/>
      <c r="J106" s="18"/>
      <c r="K106" s="18"/>
      <c r="O106" s="16"/>
      <c r="Q106" s="149"/>
    </row>
    <row r="107" spans="1:21" ht="17" thickBot="1">
      <c r="A107" s="30" t="s">
        <v>459</v>
      </c>
      <c r="B107" s="148" t="s">
        <v>380</v>
      </c>
      <c r="C107" s="142"/>
      <c r="D107" s="184"/>
      <c r="E107" s="184"/>
      <c r="F107" s="144"/>
      <c r="G107" s="145"/>
      <c r="H107" s="143"/>
      <c r="I107" s="146"/>
      <c r="J107" s="18"/>
      <c r="K107" s="18"/>
      <c r="O107" s="16"/>
      <c r="Q107" t="s">
        <v>537</v>
      </c>
    </row>
    <row r="108" spans="1:21" ht="14" thickBot="1">
      <c r="A108" s="136" t="s">
        <v>374</v>
      </c>
      <c r="B108" s="149">
        <v>585</v>
      </c>
      <c r="C108" s="138">
        <v>1</v>
      </c>
      <c r="D108" s="133">
        <f t="shared" ref="D108:D118" si="28">B108*0.05+B108</f>
        <v>614.25</v>
      </c>
      <c r="E108" s="132" t="s">
        <v>357</v>
      </c>
      <c r="F108" s="21">
        <f t="shared" ref="F108:F115" si="29">+(D108*C108)/1000</f>
        <v>0.61424999999999996</v>
      </c>
      <c r="G108" s="132">
        <v>12</v>
      </c>
      <c r="H108" s="132" t="s">
        <v>458</v>
      </c>
      <c r="I108" s="22">
        <f t="shared" ref="I108:I115" si="30">+(G108*C108)/1000</f>
        <v>1.2E-2</v>
      </c>
      <c r="J108" s="18">
        <f t="shared" ref="J108:J120" si="31">+(((I108*$I$125)+(F108*(1+$E$125)))*(1+$C$131))</f>
        <v>1.853210625</v>
      </c>
      <c r="K108" s="18">
        <f t="shared" ref="K108:K115" si="32">IF(J108=0,0,J108/C108)</f>
        <v>1.853210625</v>
      </c>
      <c r="L108">
        <v>2.13</v>
      </c>
      <c r="O108" s="16"/>
      <c r="Q108" s="149">
        <v>585</v>
      </c>
      <c r="R108" s="182">
        <f t="shared" ref="R108:R120" si="33">(B108-Q108)/Q108</f>
        <v>0</v>
      </c>
    </row>
    <row r="109" spans="1:21" ht="14" thickBot="1">
      <c r="A109" s="135" t="s">
        <v>359</v>
      </c>
      <c r="B109" s="149">
        <v>656</v>
      </c>
      <c r="C109" s="138">
        <v>1</v>
      </c>
      <c r="D109" s="133">
        <f t="shared" si="28"/>
        <v>688.8</v>
      </c>
      <c r="E109" s="132" t="s">
        <v>357</v>
      </c>
      <c r="F109" s="21">
        <f t="shared" si="29"/>
        <v>0.68879999999999997</v>
      </c>
      <c r="G109" s="132">
        <v>13</v>
      </c>
      <c r="H109" s="132" t="s">
        <v>458</v>
      </c>
      <c r="I109" s="22">
        <f t="shared" si="30"/>
        <v>1.2999999999999999E-2</v>
      </c>
      <c r="J109" s="18">
        <f t="shared" si="31"/>
        <v>2.0334020000000002</v>
      </c>
      <c r="K109" s="18">
        <f t="shared" si="32"/>
        <v>2.0334020000000002</v>
      </c>
      <c r="L109">
        <v>2.6</v>
      </c>
      <c r="O109" s="16"/>
      <c r="Q109" s="149">
        <v>656</v>
      </c>
      <c r="R109" s="182">
        <f t="shared" si="33"/>
        <v>0</v>
      </c>
    </row>
    <row r="110" spans="1:21" ht="14" thickBot="1">
      <c r="A110" s="135" t="s">
        <v>360</v>
      </c>
      <c r="B110" s="149">
        <v>776</v>
      </c>
      <c r="C110" s="138">
        <v>1</v>
      </c>
      <c r="D110" s="133">
        <f t="shared" si="28"/>
        <v>814.8</v>
      </c>
      <c r="E110" s="132" t="s">
        <v>357</v>
      </c>
      <c r="F110" s="21">
        <f t="shared" si="29"/>
        <v>0.81479999999999997</v>
      </c>
      <c r="G110" s="132">
        <v>14</v>
      </c>
      <c r="H110" s="132" t="s">
        <v>458</v>
      </c>
      <c r="I110" s="22">
        <f t="shared" si="30"/>
        <v>1.4E-2</v>
      </c>
      <c r="J110" s="18">
        <f t="shared" si="31"/>
        <v>2.2703170000000004</v>
      </c>
      <c r="K110" s="18">
        <f t="shared" si="32"/>
        <v>2.2703170000000004</v>
      </c>
      <c r="L110">
        <v>3.05</v>
      </c>
      <c r="O110" s="16"/>
      <c r="Q110" s="149">
        <v>776</v>
      </c>
      <c r="R110" s="182">
        <f t="shared" si="33"/>
        <v>0</v>
      </c>
    </row>
    <row r="111" spans="1:21" ht="14" thickBot="1">
      <c r="A111" s="135" t="s">
        <v>361</v>
      </c>
      <c r="B111" s="149">
        <v>963</v>
      </c>
      <c r="C111" s="138">
        <v>1</v>
      </c>
      <c r="D111" s="133">
        <f t="shared" si="28"/>
        <v>1011.15</v>
      </c>
      <c r="E111" s="132" t="s">
        <v>357</v>
      </c>
      <c r="F111" s="21">
        <f t="shared" si="29"/>
        <v>1.01115</v>
      </c>
      <c r="G111" s="132">
        <v>15</v>
      </c>
      <c r="H111" s="132" t="s">
        <v>458</v>
      </c>
      <c r="I111" s="22">
        <f t="shared" si="30"/>
        <v>1.4999999999999999E-2</v>
      </c>
      <c r="J111" s="18">
        <f t="shared" si="31"/>
        <v>2.5847928749999998</v>
      </c>
      <c r="K111" s="18">
        <f t="shared" si="32"/>
        <v>2.5847928749999998</v>
      </c>
      <c r="L111">
        <v>3.7</v>
      </c>
      <c r="O111" s="16"/>
      <c r="Q111" s="149">
        <v>963</v>
      </c>
      <c r="R111" s="182">
        <f t="shared" si="33"/>
        <v>0</v>
      </c>
    </row>
    <row r="112" spans="1:21" ht="14" thickBot="1">
      <c r="A112" s="135" t="s">
        <v>362</v>
      </c>
      <c r="B112" s="149">
        <v>1070</v>
      </c>
      <c r="C112" s="138">
        <v>1</v>
      </c>
      <c r="D112" s="133">
        <f t="shared" si="28"/>
        <v>1123.5</v>
      </c>
      <c r="E112" s="132" t="s">
        <v>357</v>
      </c>
      <c r="F112" s="21">
        <f t="shared" si="29"/>
        <v>1.1234999999999999</v>
      </c>
      <c r="G112" s="132">
        <v>17</v>
      </c>
      <c r="H112" s="132" t="s">
        <v>458</v>
      </c>
      <c r="I112" s="22">
        <f t="shared" si="30"/>
        <v>1.7000000000000001E-2</v>
      </c>
      <c r="J112" s="18">
        <f t="shared" si="31"/>
        <v>2.9046587500000003</v>
      </c>
      <c r="K112" s="18">
        <f t="shared" si="32"/>
        <v>2.9046587500000003</v>
      </c>
      <c r="L112">
        <v>4.37</v>
      </c>
      <c r="O112" s="16"/>
      <c r="Q112" s="149">
        <v>1070</v>
      </c>
      <c r="R112" s="182">
        <f t="shared" si="33"/>
        <v>0</v>
      </c>
    </row>
    <row r="113" spans="1:18" ht="14" thickBot="1">
      <c r="A113" s="135" t="s">
        <v>363</v>
      </c>
      <c r="B113" s="149">
        <v>1306</v>
      </c>
      <c r="C113" s="138">
        <v>1</v>
      </c>
      <c r="D113" s="133">
        <f t="shared" si="28"/>
        <v>1371.3</v>
      </c>
      <c r="E113" s="132" t="s">
        <v>357</v>
      </c>
      <c r="F113" s="21">
        <f t="shared" si="29"/>
        <v>1.3713</v>
      </c>
      <c r="G113" s="132">
        <v>20</v>
      </c>
      <c r="H113" s="132" t="s">
        <v>458</v>
      </c>
      <c r="I113" s="22">
        <f t="shared" si="30"/>
        <v>0.02</v>
      </c>
      <c r="J113" s="18">
        <f t="shared" si="31"/>
        <v>3.4718582499999999</v>
      </c>
      <c r="K113" s="18">
        <f t="shared" si="32"/>
        <v>3.4718582499999999</v>
      </c>
      <c r="L113">
        <v>5.1100000000000003</v>
      </c>
      <c r="O113" s="16"/>
      <c r="Q113" s="149">
        <v>1306</v>
      </c>
      <c r="R113" s="182">
        <f t="shared" si="33"/>
        <v>0</v>
      </c>
    </row>
    <row r="114" spans="1:18" ht="14" thickBot="1">
      <c r="A114" s="135" t="s">
        <v>364</v>
      </c>
      <c r="B114" s="149">
        <v>1805</v>
      </c>
      <c r="C114" s="138">
        <v>1</v>
      </c>
      <c r="D114" s="133">
        <f t="shared" si="28"/>
        <v>1895.25</v>
      </c>
      <c r="E114" s="132" t="s">
        <v>357</v>
      </c>
      <c r="F114" s="21">
        <f t="shared" si="29"/>
        <v>1.8952500000000001</v>
      </c>
      <c r="G114" s="132">
        <v>21</v>
      </c>
      <c r="H114" s="132" t="s">
        <v>458</v>
      </c>
      <c r="I114" s="22">
        <f t="shared" si="30"/>
        <v>2.1000000000000001E-2</v>
      </c>
      <c r="J114" s="18">
        <f t="shared" si="31"/>
        <v>4.1475131250000006</v>
      </c>
      <c r="K114" s="18">
        <f t="shared" si="32"/>
        <v>4.1475131250000006</v>
      </c>
      <c r="L114">
        <v>5.83</v>
      </c>
      <c r="O114" s="16"/>
      <c r="Q114" s="149">
        <v>1805</v>
      </c>
      <c r="R114" s="182">
        <f t="shared" si="33"/>
        <v>0</v>
      </c>
    </row>
    <row r="115" spans="1:18" ht="14" thickBot="1">
      <c r="A115" s="135" t="s">
        <v>365</v>
      </c>
      <c r="B115" s="149">
        <v>1835</v>
      </c>
      <c r="C115" s="138">
        <v>1</v>
      </c>
      <c r="D115" s="133">
        <f t="shared" si="28"/>
        <v>1926.75</v>
      </c>
      <c r="E115" s="132" t="s">
        <v>357</v>
      </c>
      <c r="F115" s="21">
        <f t="shared" si="29"/>
        <v>1.92675</v>
      </c>
      <c r="G115" s="132">
        <v>23</v>
      </c>
      <c r="H115" s="132" t="s">
        <v>458</v>
      </c>
      <c r="I115" s="22">
        <f t="shared" si="30"/>
        <v>2.3E-2</v>
      </c>
      <c r="J115" s="18">
        <f t="shared" si="31"/>
        <v>4.3782418750000005</v>
      </c>
      <c r="K115" s="18">
        <f t="shared" si="32"/>
        <v>4.3782418750000005</v>
      </c>
      <c r="L115">
        <v>6.68</v>
      </c>
      <c r="O115" s="16"/>
      <c r="Q115" s="149">
        <v>1835</v>
      </c>
      <c r="R115" s="182">
        <f t="shared" si="33"/>
        <v>0</v>
      </c>
    </row>
    <row r="116" spans="1:18" ht="14" thickBot="1">
      <c r="A116" s="136" t="s">
        <v>379</v>
      </c>
      <c r="B116" s="149">
        <v>2145</v>
      </c>
      <c r="C116" s="138">
        <v>1</v>
      </c>
      <c r="D116" s="133">
        <f t="shared" si="28"/>
        <v>2252.25</v>
      </c>
      <c r="E116" s="132" t="s">
        <v>357</v>
      </c>
      <c r="F116" s="21">
        <f>+(D116*C116)/1000</f>
        <v>2.2522500000000001</v>
      </c>
      <c r="G116" s="132">
        <v>25</v>
      </c>
      <c r="H116" s="132" t="s">
        <v>458</v>
      </c>
      <c r="I116" s="22">
        <f>+(G116*C116)/1000</f>
        <v>2.5000000000000001E-2</v>
      </c>
      <c r="J116" s="18">
        <f t="shared" si="31"/>
        <v>4.9331056250000005</v>
      </c>
      <c r="K116" s="18">
        <f>IF(J116=0,0,J116/C116)</f>
        <v>4.9331056250000005</v>
      </c>
      <c r="L116">
        <v>7.49</v>
      </c>
      <c r="O116" s="16"/>
      <c r="Q116" s="149">
        <v>2145</v>
      </c>
      <c r="R116" s="182">
        <f t="shared" si="33"/>
        <v>0</v>
      </c>
    </row>
    <row r="117" spans="1:18" ht="14" thickBot="1">
      <c r="A117" s="135" t="s">
        <v>366</v>
      </c>
      <c r="B117" s="149">
        <v>2366</v>
      </c>
      <c r="C117" s="138">
        <v>1</v>
      </c>
      <c r="D117" s="133">
        <f t="shared" si="28"/>
        <v>2484.3000000000002</v>
      </c>
      <c r="E117" s="132" t="s">
        <v>357</v>
      </c>
      <c r="F117" s="21">
        <f>+(D117*C117)/1000</f>
        <v>2.4843000000000002</v>
      </c>
      <c r="G117" s="132">
        <v>26</v>
      </c>
      <c r="H117" s="132" t="s">
        <v>458</v>
      </c>
      <c r="I117" s="22">
        <f>+(G117*C117)/1000</f>
        <v>2.5999999999999999E-2</v>
      </c>
      <c r="J117" s="18">
        <f t="shared" si="31"/>
        <v>5.2869407500000003</v>
      </c>
      <c r="K117" s="18">
        <f>IF(J117=0,0,J117/C117)</f>
        <v>5.2869407500000003</v>
      </c>
      <c r="L117">
        <v>8.52</v>
      </c>
      <c r="O117" s="16"/>
      <c r="Q117" s="149">
        <v>2366</v>
      </c>
      <c r="R117" s="182">
        <f t="shared" si="33"/>
        <v>0</v>
      </c>
    </row>
    <row r="118" spans="1:18" ht="14" thickBot="1">
      <c r="A118" s="135" t="s">
        <v>367</v>
      </c>
      <c r="B118" s="149">
        <v>2998</v>
      </c>
      <c r="C118" s="138">
        <v>1</v>
      </c>
      <c r="D118" s="133">
        <f t="shared" si="28"/>
        <v>3147.9</v>
      </c>
      <c r="E118" s="132" t="s">
        <v>357</v>
      </c>
      <c r="F118" s="21">
        <f>+(D118*C118)/1000</f>
        <v>3.1478999999999999</v>
      </c>
      <c r="G118" s="132">
        <v>29</v>
      </c>
      <c r="H118" s="132" t="s">
        <v>458</v>
      </c>
      <c r="I118" s="22">
        <f>+(G118*C118)/1000</f>
        <v>2.9000000000000001E-2</v>
      </c>
      <c r="J118" s="18">
        <f t="shared" si="31"/>
        <v>6.3125597500000001</v>
      </c>
      <c r="K118" s="18">
        <f>IF(J118=0,0,J118/C118)</f>
        <v>6.3125597500000001</v>
      </c>
      <c r="L118">
        <v>11.24</v>
      </c>
      <c r="O118" s="16"/>
      <c r="Q118" s="149">
        <v>2998</v>
      </c>
      <c r="R118" s="182">
        <f t="shared" si="33"/>
        <v>0</v>
      </c>
    </row>
    <row r="119" spans="1:18" ht="14" thickBot="1">
      <c r="A119" s="135" t="s">
        <v>368</v>
      </c>
      <c r="B119" s="149">
        <v>3496</v>
      </c>
      <c r="C119" s="138">
        <v>1</v>
      </c>
      <c r="D119" s="133">
        <f>B119*0.1+B119</f>
        <v>3845.6</v>
      </c>
      <c r="E119" s="132" t="s">
        <v>357</v>
      </c>
      <c r="F119" s="21">
        <f>+(D119*C119)/1000</f>
        <v>3.8456000000000001</v>
      </c>
      <c r="G119" s="132">
        <v>32</v>
      </c>
      <c r="H119" s="132" t="s">
        <v>458</v>
      </c>
      <c r="I119" s="22">
        <f>+(G119*C119)/1000</f>
        <v>3.2000000000000001E-2</v>
      </c>
      <c r="J119" s="18">
        <f t="shared" si="31"/>
        <v>7.3757740000000007</v>
      </c>
      <c r="K119" s="18">
        <f>IF(J119=0,0,J119/C119)</f>
        <v>7.3757740000000007</v>
      </c>
      <c r="L119">
        <v>17.989999999999998</v>
      </c>
      <c r="O119" s="16"/>
      <c r="Q119" s="149">
        <v>3456</v>
      </c>
      <c r="R119" s="182">
        <f t="shared" si="33"/>
        <v>1.1574074074074073E-2</v>
      </c>
    </row>
    <row r="120" spans="1:18" ht="14" thickBot="1">
      <c r="A120" s="135" t="s">
        <v>460</v>
      </c>
      <c r="B120" s="149">
        <v>4600</v>
      </c>
      <c r="C120" s="138">
        <v>1</v>
      </c>
      <c r="D120" s="133">
        <f>B120*0.1+B120</f>
        <v>5060</v>
      </c>
      <c r="E120" s="132" t="s">
        <v>357</v>
      </c>
      <c r="F120" s="21">
        <f>+(D120*C120)/1000</f>
        <v>5.0599999999999996</v>
      </c>
      <c r="G120" s="132">
        <v>34</v>
      </c>
      <c r="H120" s="132" t="s">
        <v>458</v>
      </c>
      <c r="I120" s="22">
        <f>+(G120*C120)/1000</f>
        <v>3.4000000000000002E-2</v>
      </c>
      <c r="J120" s="18">
        <f t="shared" si="31"/>
        <v>8.9106500000000004</v>
      </c>
      <c r="K120" s="18">
        <f>IF(J120=0,0,J120/C120)</f>
        <v>8.9106500000000004</v>
      </c>
      <c r="L120">
        <v>17.989999999999998</v>
      </c>
      <c r="O120" s="16"/>
      <c r="Q120" s="149">
        <v>4600</v>
      </c>
      <c r="R120" s="182">
        <f t="shared" si="33"/>
        <v>0</v>
      </c>
    </row>
    <row r="121" spans="1:18" ht="14" thickBot="1">
      <c r="A121" s="31"/>
      <c r="B121" s="147"/>
      <c r="C121" s="10"/>
      <c r="D121" s="20"/>
      <c r="E121" s="10"/>
      <c r="F121" s="21"/>
      <c r="G121" s="25"/>
      <c r="H121" s="10"/>
      <c r="I121" s="22"/>
      <c r="J121" s="18"/>
      <c r="K121" s="18"/>
      <c r="Q121" s="149"/>
    </row>
    <row r="122" spans="1:18" ht="14" thickBot="1">
      <c r="A122" s="29"/>
      <c r="B122" s="34"/>
      <c r="C122" s="10"/>
      <c r="D122" s="20"/>
      <c r="E122" s="10"/>
      <c r="F122" s="21"/>
      <c r="G122" s="25"/>
      <c r="H122" s="10"/>
      <c r="I122" s="22"/>
      <c r="J122" s="18">
        <f>+(((I122*$I$125)+(F122*(1+$E$125)))*(1+$C$131))</f>
        <v>0</v>
      </c>
      <c r="K122" s="18">
        <f>IF(J122=0,0,J122/C122)</f>
        <v>0</v>
      </c>
    </row>
    <row r="123" spans="1:18">
      <c r="A123" s="2"/>
      <c r="B123" s="42">
        <f>SUM(B9:B122)</f>
        <v>135020.85</v>
      </c>
      <c r="C123" s="1"/>
      <c r="D123" s="3"/>
      <c r="E123" s="1"/>
      <c r="F123" s="3"/>
      <c r="G123" s="4"/>
      <c r="H123" s="1"/>
      <c r="I123" s="4"/>
      <c r="J123" s="19">
        <f>SUM(J9:J121)</f>
        <v>1988.2725100000005</v>
      </c>
    </row>
    <row r="124" spans="1:18">
      <c r="A124" s="2" t="s">
        <v>2</v>
      </c>
      <c r="B124" s="2"/>
      <c r="C124" s="1"/>
      <c r="D124" s="3"/>
      <c r="E124" s="2"/>
      <c r="F124" s="3">
        <f>SUM(F9:F122)</f>
        <v>1013.6279999999999</v>
      </c>
      <c r="G124" s="4"/>
      <c r="H124" s="2"/>
      <c r="I124" s="4">
        <f>SUM(I9:I122)</f>
        <v>8.8851799999999983</v>
      </c>
    </row>
    <row r="125" spans="1:18" ht="14" thickBot="1">
      <c r="A125" s="2" t="s">
        <v>3</v>
      </c>
      <c r="B125" s="2"/>
      <c r="C125" s="1"/>
      <c r="D125" s="3"/>
      <c r="E125" s="7">
        <v>0.10249999999999999</v>
      </c>
      <c r="F125" s="5">
        <f>+F124*E125</f>
        <v>103.89686999999999</v>
      </c>
      <c r="G125" s="4"/>
      <c r="H125" s="2"/>
      <c r="I125" s="5">
        <v>98</v>
      </c>
    </row>
    <row r="126" spans="1:18">
      <c r="A126" s="2"/>
      <c r="B126" s="2"/>
      <c r="C126" s="1"/>
      <c r="D126" s="2"/>
      <c r="E126" s="2"/>
      <c r="F126" s="3">
        <f>SUM(F124:F125)</f>
        <v>1117.52487</v>
      </c>
      <c r="G126" s="4"/>
      <c r="H126" s="2"/>
      <c r="I126" s="6">
        <f>I124*I125</f>
        <v>870.74763999999982</v>
      </c>
    </row>
    <row r="127" spans="1:18">
      <c r="A127" s="2"/>
      <c r="B127" s="2"/>
      <c r="C127" s="1"/>
      <c r="D127" s="2"/>
      <c r="E127" s="2"/>
      <c r="F127" s="2"/>
      <c r="G127" s="2"/>
      <c r="H127" s="2"/>
      <c r="I127" s="2"/>
    </row>
    <row r="128" spans="1:18">
      <c r="A128" s="2" t="s">
        <v>13</v>
      </c>
      <c r="B128" s="2"/>
      <c r="C128" s="1"/>
      <c r="D128" s="3">
        <f>F126</f>
        <v>1117.52487</v>
      </c>
      <c r="E128" s="2"/>
      <c r="F128" s="2">
        <v>2800</v>
      </c>
      <c r="G128" s="9" t="s">
        <v>81</v>
      </c>
      <c r="H128" s="2"/>
      <c r="I128" s="2"/>
    </row>
    <row r="129" spans="1:14">
      <c r="A129" s="2" t="s">
        <v>14</v>
      </c>
      <c r="B129" s="2"/>
      <c r="C129" s="1"/>
      <c r="D129" s="8">
        <f>I126</f>
        <v>870.74763999999982</v>
      </c>
      <c r="E129" s="2"/>
      <c r="F129" s="2">
        <v>0</v>
      </c>
      <c r="G129" s="9" t="s">
        <v>80</v>
      </c>
      <c r="H129" s="2"/>
      <c r="I129" s="2"/>
    </row>
    <row r="130" spans="1:14">
      <c r="A130" s="2" t="s">
        <v>2</v>
      </c>
      <c r="B130" s="2"/>
      <c r="C130" s="1"/>
      <c r="D130" s="3">
        <f>SUM(D128:D129)</f>
        <v>1988.2725099999998</v>
      </c>
      <c r="E130" s="2"/>
      <c r="F130" s="43">
        <f>+F129+F128</f>
        <v>2800</v>
      </c>
      <c r="G130" s="9" t="s">
        <v>82</v>
      </c>
      <c r="H130" s="2"/>
      <c r="I130" s="2"/>
    </row>
    <row r="131" spans="1:14">
      <c r="A131" s="2" t="s">
        <v>15</v>
      </c>
      <c r="B131" s="2"/>
      <c r="C131" s="14">
        <v>0</v>
      </c>
      <c r="D131" s="6">
        <f>D130*C131</f>
        <v>0</v>
      </c>
      <c r="E131" s="2"/>
      <c r="F131" s="11">
        <f>+D133/F130</f>
        <v>0.71035714285714291</v>
      </c>
      <c r="G131" s="9" t="s">
        <v>18</v>
      </c>
      <c r="H131" s="2"/>
      <c r="I131" s="2"/>
    </row>
    <row r="132" spans="1:14" ht="14" thickBot="1">
      <c r="A132" s="2"/>
      <c r="B132" s="2"/>
      <c r="C132" s="15"/>
      <c r="D132" s="6"/>
      <c r="E132" s="2"/>
      <c r="H132" s="2"/>
      <c r="I132" s="17"/>
    </row>
    <row r="133" spans="1:14" ht="14" thickBot="1">
      <c r="A133" s="29" t="s">
        <v>16</v>
      </c>
      <c r="B133" s="67"/>
      <c r="C133" s="68"/>
      <c r="D133" s="69">
        <f>ROUNDUP(SUM(D130:D132),0)</f>
        <v>1989</v>
      </c>
      <c r="E133" s="2"/>
      <c r="H133" s="2"/>
      <c r="I133" s="2"/>
    </row>
    <row r="135" spans="1:14">
      <c r="D135" s="16"/>
      <c r="E135" s="16"/>
    </row>
    <row r="136" spans="1:14">
      <c r="D136" s="16"/>
      <c r="E136" s="26"/>
      <c r="F136" s="27"/>
      <c r="G136" s="27"/>
    </row>
    <row r="141" spans="1:14">
      <c r="A141" s="127"/>
      <c r="N141" s="128"/>
    </row>
    <row r="150" spans="1:4">
      <c r="A150" s="170"/>
      <c r="B150" s="171"/>
      <c r="C150" s="149"/>
      <c r="D150" s="149"/>
    </row>
    <row r="151" spans="1:4">
      <c r="A151" s="170"/>
      <c r="B151" s="171"/>
      <c r="C151" s="149"/>
      <c r="D151" s="149"/>
    </row>
    <row r="152" spans="1:4">
      <c r="A152" s="170"/>
      <c r="B152" s="171"/>
      <c r="C152" s="149"/>
      <c r="D152" s="149"/>
    </row>
    <row r="153" spans="1:4">
      <c r="A153" s="170"/>
      <c r="B153" s="171"/>
      <c r="C153" s="149"/>
      <c r="D153" s="149"/>
    </row>
    <row r="154" spans="1:4">
      <c r="A154" s="170"/>
      <c r="B154" s="171"/>
      <c r="C154" s="149"/>
      <c r="D154" s="149"/>
    </row>
    <row r="155" spans="1:4">
      <c r="A155" s="170"/>
      <c r="B155" s="171"/>
      <c r="C155" s="149"/>
      <c r="D155" s="149"/>
    </row>
    <row r="156" spans="1:4">
      <c r="A156" s="170"/>
      <c r="B156" s="171"/>
      <c r="C156" s="149"/>
      <c r="D156" s="149"/>
    </row>
    <row r="157" spans="1:4">
      <c r="A157" s="170"/>
      <c r="B157" s="171"/>
      <c r="C157" s="149"/>
      <c r="D157" s="149"/>
    </row>
    <row r="158" spans="1:4">
      <c r="A158" s="170"/>
      <c r="B158" s="171"/>
      <c r="C158" s="149"/>
      <c r="D158" s="149"/>
    </row>
    <row r="159" spans="1:4">
      <c r="A159" s="170"/>
      <c r="B159" s="171"/>
      <c r="C159" s="149"/>
      <c r="D159" s="149"/>
    </row>
    <row r="160" spans="1:4">
      <c r="A160" s="170"/>
      <c r="B160" s="171"/>
      <c r="C160" s="149"/>
      <c r="D160" s="149"/>
    </row>
    <row r="161" spans="1:4">
      <c r="A161" s="170"/>
      <c r="B161" s="171"/>
      <c r="C161" s="149"/>
      <c r="D161" s="149"/>
    </row>
    <row r="162" spans="1:4">
      <c r="A162" s="170"/>
      <c r="B162" s="171"/>
      <c r="C162" s="149"/>
      <c r="D162" s="149"/>
    </row>
    <row r="163" spans="1:4">
      <c r="A163" s="170"/>
      <c r="B163" s="171"/>
      <c r="C163" s="149"/>
      <c r="D163" s="149"/>
    </row>
    <row r="164" spans="1:4">
      <c r="A164" s="170"/>
      <c r="B164" s="171"/>
      <c r="C164" s="149"/>
      <c r="D164" s="149"/>
    </row>
    <row r="165" spans="1:4">
      <c r="A165" s="170"/>
      <c r="B165" s="171"/>
      <c r="C165" s="149"/>
      <c r="D165" s="149"/>
    </row>
    <row r="166" spans="1:4">
      <c r="A166" s="170"/>
      <c r="B166" s="171"/>
      <c r="C166" s="149"/>
      <c r="D166" s="149"/>
    </row>
    <row r="167" spans="1:4">
      <c r="A167" s="170"/>
      <c r="B167" s="171"/>
      <c r="C167" s="149"/>
      <c r="D167" s="149"/>
    </row>
    <row r="168" spans="1:4">
      <c r="A168" s="170"/>
      <c r="B168" s="171"/>
      <c r="C168" s="149"/>
      <c r="D168" s="149"/>
    </row>
  </sheetData>
  <mergeCells count="15">
    <mergeCell ref="S5:V5"/>
    <mergeCell ref="S7:V7"/>
    <mergeCell ref="M5:P5"/>
    <mergeCell ref="M7:P7"/>
    <mergeCell ref="D70:E70"/>
    <mergeCell ref="D82:E82"/>
    <mergeCell ref="D45:E45"/>
    <mergeCell ref="D33:E33"/>
    <mergeCell ref="D21:E21"/>
    <mergeCell ref="D107:E107"/>
    <mergeCell ref="A9:B9"/>
    <mergeCell ref="D9:E9"/>
    <mergeCell ref="A57:B57"/>
    <mergeCell ref="D57:E57"/>
    <mergeCell ref="A70:B70"/>
  </mergeCells>
  <pageMargins left="0.75" right="0.75" top="1" bottom="1" header="0.5" footer="0.5"/>
  <pageSetup scale="39" fitToHeight="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7248E-0511-4F91-A556-42F1E5A6262F}">
  <sheetPr>
    <pageSetUpPr fitToPage="1"/>
  </sheetPr>
  <dimension ref="A1:U335"/>
  <sheetViews>
    <sheetView showGridLines="0" zoomScale="85" zoomScaleNormal="85" workbookViewId="0">
      <selection activeCell="H87" sqref="H87"/>
    </sheetView>
  </sheetViews>
  <sheetFormatPr baseColWidth="10" defaultColWidth="9" defaultRowHeight="13"/>
  <cols>
    <col min="1" max="1" width="28.3984375" customWidth="1"/>
    <col min="2" max="2" width="13" customWidth="1"/>
    <col min="3" max="3" width="9.19921875" style="16" customWidth="1"/>
    <col min="4" max="4" width="12.796875" customWidth="1"/>
    <col min="6" max="6" width="10.3984375" customWidth="1"/>
    <col min="7" max="7" width="11.19921875" customWidth="1"/>
    <col min="9" max="9" width="10.3984375" customWidth="1"/>
    <col min="10" max="10" width="12" customWidth="1"/>
  </cols>
  <sheetData>
    <row r="1" spans="1:21" ht="14" thickBot="1">
      <c r="A1" s="12" t="s">
        <v>69</v>
      </c>
      <c r="B1" s="12"/>
      <c r="C1" s="13"/>
      <c r="D1" s="12" t="s">
        <v>17</v>
      </c>
      <c r="E1" s="12"/>
      <c r="F1" s="13" t="s">
        <v>4</v>
      </c>
      <c r="G1" s="12" t="s">
        <v>5</v>
      </c>
      <c r="H1" s="2"/>
      <c r="I1" s="2"/>
      <c r="N1">
        <v>10</v>
      </c>
      <c r="O1" t="s">
        <v>463</v>
      </c>
      <c r="P1">
        <v>83</v>
      </c>
      <c r="Q1" s="135" t="s">
        <v>356</v>
      </c>
      <c r="T1">
        <v>108</v>
      </c>
      <c r="U1" s="136" t="s">
        <v>374</v>
      </c>
    </row>
    <row r="2" spans="1:21" ht="14" thickBot="1">
      <c r="A2" s="63" t="s">
        <v>139</v>
      </c>
      <c r="B2" s="9"/>
      <c r="C2" s="1"/>
      <c r="D2" s="65" t="s">
        <v>153</v>
      </c>
      <c r="E2" s="1"/>
      <c r="F2" s="66" t="s">
        <v>144</v>
      </c>
      <c r="G2" s="65" t="s">
        <v>41</v>
      </c>
      <c r="H2" s="1"/>
      <c r="I2" s="1"/>
      <c r="N2">
        <v>11</v>
      </c>
      <c r="O2" t="s">
        <v>464</v>
      </c>
      <c r="P2">
        <v>84</v>
      </c>
      <c r="Q2" s="136" t="s">
        <v>358</v>
      </c>
      <c r="T2">
        <v>109</v>
      </c>
      <c r="U2" s="135" t="s">
        <v>359</v>
      </c>
    </row>
    <row r="3" spans="1:21" ht="14" thickBot="1">
      <c r="A3" s="63" t="s">
        <v>140</v>
      </c>
      <c r="B3" s="9"/>
      <c r="C3" s="1"/>
      <c r="D3" s="65"/>
      <c r="E3" s="1"/>
      <c r="F3" s="66"/>
      <c r="G3" s="65"/>
      <c r="H3" s="1"/>
      <c r="I3" s="1"/>
      <c r="N3">
        <v>12</v>
      </c>
      <c r="O3" t="s">
        <v>465</v>
      </c>
      <c r="P3">
        <v>85</v>
      </c>
      <c r="Q3" s="136" t="s">
        <v>369</v>
      </c>
      <c r="T3">
        <v>110</v>
      </c>
      <c r="U3" s="135" t="s">
        <v>360</v>
      </c>
    </row>
    <row r="4" spans="1:21" ht="14" thickBot="1">
      <c r="A4" s="64" t="s">
        <v>141</v>
      </c>
      <c r="B4" s="2"/>
      <c r="C4" s="1"/>
      <c r="D4" s="1"/>
      <c r="E4" s="1"/>
      <c r="F4" s="1"/>
      <c r="G4" s="1"/>
      <c r="H4" s="1"/>
      <c r="I4" s="1"/>
      <c r="N4">
        <v>13</v>
      </c>
      <c r="O4" t="s">
        <v>466</v>
      </c>
      <c r="P4">
        <v>86</v>
      </c>
      <c r="Q4" s="136" t="s">
        <v>370</v>
      </c>
      <c r="T4">
        <v>111</v>
      </c>
      <c r="U4" s="135" t="s">
        <v>361</v>
      </c>
    </row>
    <row r="5" spans="1:21" ht="14" thickBot="1">
      <c r="A5" s="64" t="s">
        <v>142</v>
      </c>
      <c r="B5" s="2"/>
      <c r="C5" s="1"/>
      <c r="D5" s="1"/>
      <c r="E5" s="1"/>
      <c r="F5" s="1"/>
      <c r="G5" s="1"/>
      <c r="H5" s="1"/>
      <c r="I5" s="1"/>
      <c r="N5">
        <v>14</v>
      </c>
      <c r="O5" t="s">
        <v>467</v>
      </c>
      <c r="P5">
        <v>87</v>
      </c>
      <c r="Q5" s="136" t="s">
        <v>371</v>
      </c>
      <c r="T5">
        <v>112</v>
      </c>
      <c r="U5" s="135" t="s">
        <v>362</v>
      </c>
    </row>
    <row r="6" spans="1:21" ht="14" thickBot="1">
      <c r="A6" s="64" t="s">
        <v>143</v>
      </c>
      <c r="B6" s="2"/>
      <c r="C6" s="1"/>
      <c r="D6" s="1"/>
      <c r="E6" s="1"/>
      <c r="F6" s="1"/>
      <c r="G6" s="1"/>
      <c r="H6" s="1"/>
      <c r="I6" s="1"/>
      <c r="N6">
        <v>15</v>
      </c>
      <c r="O6" t="s">
        <v>468</v>
      </c>
      <c r="P6">
        <v>88</v>
      </c>
      <c r="Q6" s="136" t="s">
        <v>372</v>
      </c>
      <c r="T6">
        <v>113</v>
      </c>
      <c r="U6" s="135" t="s">
        <v>363</v>
      </c>
    </row>
    <row r="7" spans="1:21" ht="14" thickBot="1">
      <c r="A7" s="2"/>
      <c r="B7" s="2"/>
      <c r="C7" s="1"/>
      <c r="D7" s="1"/>
      <c r="E7" s="1"/>
      <c r="F7" s="1"/>
      <c r="G7" s="1"/>
      <c r="H7" s="1"/>
      <c r="I7" s="1"/>
      <c r="N7">
        <v>16</v>
      </c>
      <c r="O7" t="s">
        <v>469</v>
      </c>
      <c r="P7">
        <v>89</v>
      </c>
      <c r="Q7" s="136" t="s">
        <v>373</v>
      </c>
      <c r="T7">
        <v>114</v>
      </c>
      <c r="U7" s="135" t="s">
        <v>364</v>
      </c>
    </row>
    <row r="8" spans="1:21" ht="14" thickBot="1">
      <c r="A8" s="28" t="s">
        <v>6</v>
      </c>
      <c r="B8" s="33"/>
      <c r="C8" s="10" t="s">
        <v>7</v>
      </c>
      <c r="D8" s="10" t="s">
        <v>8</v>
      </c>
      <c r="E8" s="10" t="s">
        <v>9</v>
      </c>
      <c r="F8" s="10" t="s">
        <v>10</v>
      </c>
      <c r="G8" s="10" t="s">
        <v>11</v>
      </c>
      <c r="H8" s="10" t="s">
        <v>9</v>
      </c>
      <c r="I8" s="10" t="s">
        <v>12</v>
      </c>
      <c r="J8" t="s">
        <v>16</v>
      </c>
      <c r="K8" t="s">
        <v>19</v>
      </c>
      <c r="N8">
        <v>17</v>
      </c>
      <c r="O8" t="s">
        <v>470</v>
      </c>
      <c r="P8">
        <v>90</v>
      </c>
      <c r="Q8" s="136" t="s">
        <v>374</v>
      </c>
      <c r="T8">
        <v>115</v>
      </c>
      <c r="U8" s="135" t="s">
        <v>365</v>
      </c>
    </row>
    <row r="9" spans="1:21" ht="14" thickBot="1">
      <c r="A9" s="29"/>
      <c r="B9" s="34"/>
      <c r="C9" s="10"/>
      <c r="D9" s="20"/>
      <c r="E9" s="10"/>
      <c r="F9" s="21"/>
      <c r="G9" s="25"/>
      <c r="H9" s="10"/>
      <c r="I9" s="22"/>
      <c r="J9" s="18"/>
      <c r="K9" s="18"/>
      <c r="N9">
        <v>18</v>
      </c>
      <c r="O9" t="s">
        <v>471</v>
      </c>
      <c r="P9">
        <v>91</v>
      </c>
      <c r="Q9" s="135" t="s">
        <v>359</v>
      </c>
      <c r="T9">
        <v>116</v>
      </c>
      <c r="U9" s="136" t="s">
        <v>379</v>
      </c>
    </row>
    <row r="10" spans="1:21" ht="14" thickBot="1">
      <c r="A10" s="29"/>
      <c r="B10" s="34"/>
      <c r="C10" s="10"/>
      <c r="D10" s="20"/>
      <c r="E10" s="10"/>
      <c r="F10" s="21"/>
      <c r="G10" s="25"/>
      <c r="H10" s="10"/>
      <c r="I10" s="22"/>
      <c r="J10" s="18"/>
      <c r="K10" s="18"/>
      <c r="N10">
        <v>19</v>
      </c>
      <c r="O10" t="s">
        <v>472</v>
      </c>
      <c r="P10">
        <v>92</v>
      </c>
      <c r="Q10" s="135" t="s">
        <v>360</v>
      </c>
      <c r="T10">
        <v>117</v>
      </c>
      <c r="U10" s="135" t="s">
        <v>366</v>
      </c>
    </row>
    <row r="11" spans="1:21" ht="14" thickBot="1">
      <c r="A11" s="30" t="s">
        <v>24</v>
      </c>
      <c r="B11" s="38">
        <f>SUM(J12:J14)</f>
        <v>0</v>
      </c>
      <c r="C11" s="10"/>
      <c r="D11" s="20"/>
      <c r="E11" s="10"/>
      <c r="F11" s="21"/>
      <c r="G11" s="25"/>
      <c r="H11" s="10"/>
      <c r="I11" s="22"/>
      <c r="J11" s="18"/>
      <c r="K11" s="18"/>
      <c r="P11">
        <v>93</v>
      </c>
      <c r="Q11" s="135" t="s">
        <v>361</v>
      </c>
      <c r="T11">
        <v>118</v>
      </c>
      <c r="U11" s="135" t="s">
        <v>367</v>
      </c>
    </row>
    <row r="12" spans="1:21" ht="14" thickBot="1">
      <c r="A12" s="31" t="s">
        <v>39</v>
      </c>
      <c r="B12" s="36"/>
      <c r="C12" s="10"/>
      <c r="D12" s="20">
        <f>F327/100</f>
        <v>8285.2000000000007</v>
      </c>
      <c r="E12" s="10" t="s">
        <v>83</v>
      </c>
      <c r="F12" s="21">
        <f>+D12*C12</f>
        <v>0</v>
      </c>
      <c r="G12" s="25">
        <f>F327/10000</f>
        <v>82.852000000000004</v>
      </c>
      <c r="H12" s="10" t="s">
        <v>83</v>
      </c>
      <c r="I12" s="22">
        <f>+G12*C12</f>
        <v>0</v>
      </c>
      <c r="J12" s="18">
        <f>+(((I12*$I$324)+(F12*(1+$E$324)))*(1+$C$330))</f>
        <v>0</v>
      </c>
      <c r="K12" s="18">
        <f t="shared" ref="K12:K86" si="0">IF(J12=0,0,J12/C12)</f>
        <v>0</v>
      </c>
      <c r="P12">
        <v>94</v>
      </c>
      <c r="Q12" s="135" t="s">
        <v>362</v>
      </c>
      <c r="T12">
        <v>119</v>
      </c>
      <c r="U12" s="135" t="s">
        <v>368</v>
      </c>
    </row>
    <row r="13" spans="1:21" ht="14" thickBot="1">
      <c r="A13" s="31" t="s">
        <v>40</v>
      </c>
      <c r="B13" s="36"/>
      <c r="C13" s="10"/>
      <c r="D13" s="20">
        <v>1500</v>
      </c>
      <c r="E13" s="10" t="s">
        <v>83</v>
      </c>
      <c r="F13" s="21">
        <f>+D13*C13</f>
        <v>0</v>
      </c>
      <c r="G13" s="25">
        <v>30</v>
      </c>
      <c r="H13" s="10" t="s">
        <v>83</v>
      </c>
      <c r="I13" s="22">
        <f>+G13*C13</f>
        <v>0</v>
      </c>
      <c r="J13" s="18">
        <f>+(((I13*$I$324)+(F13*(1+$E$324)))*(1+$C$330))</f>
        <v>0</v>
      </c>
      <c r="K13" s="18">
        <f t="shared" si="0"/>
        <v>0</v>
      </c>
      <c r="P13">
        <v>95</v>
      </c>
      <c r="Q13" s="135" t="s">
        <v>363</v>
      </c>
      <c r="T13">
        <v>120</v>
      </c>
      <c r="U13" s="135" t="s">
        <v>460</v>
      </c>
    </row>
    <row r="14" spans="1:21" ht="14" thickBot="1">
      <c r="A14" s="31"/>
      <c r="B14" s="36"/>
      <c r="C14" s="10"/>
      <c r="D14" s="20"/>
      <c r="E14" s="10"/>
      <c r="F14" s="21"/>
      <c r="G14" s="25"/>
      <c r="H14" s="10"/>
      <c r="I14" s="22"/>
      <c r="J14" s="18"/>
      <c r="K14" s="18"/>
      <c r="P14">
        <v>96</v>
      </c>
      <c r="Q14" s="135" t="s">
        <v>364</v>
      </c>
    </row>
    <row r="15" spans="1:21" ht="14" thickBot="1">
      <c r="A15" s="30" t="s">
        <v>33</v>
      </c>
      <c r="B15" s="38">
        <f>SUM(J16:J158)</f>
        <v>600.58381250000002</v>
      </c>
      <c r="C15" s="10"/>
      <c r="D15" s="20"/>
      <c r="E15" s="10"/>
      <c r="F15" s="21"/>
      <c r="G15" s="25"/>
      <c r="H15" s="10"/>
      <c r="I15" s="22"/>
      <c r="J15" s="18"/>
      <c r="K15" s="18">
        <f t="shared" si="0"/>
        <v>0</v>
      </c>
      <c r="P15">
        <v>97</v>
      </c>
      <c r="Q15" s="135" t="s">
        <v>365</v>
      </c>
    </row>
    <row r="16" spans="1:21" ht="14" thickBot="1">
      <c r="A16" s="31" t="s">
        <v>25</v>
      </c>
      <c r="B16" s="38"/>
      <c r="C16" s="10"/>
      <c r="D16" s="20">
        <v>2000</v>
      </c>
      <c r="E16" s="10" t="s">
        <v>1</v>
      </c>
      <c r="F16" s="21">
        <f>+D16*C16</f>
        <v>0</v>
      </c>
      <c r="G16" s="22">
        <v>10</v>
      </c>
      <c r="H16" s="10" t="s">
        <v>1</v>
      </c>
      <c r="I16" s="22">
        <f>+G16*C16</f>
        <v>0</v>
      </c>
      <c r="J16" s="18">
        <f t="shared" ref="J16:J79" si="1">+(((I16*$I$324)+(F16*(1+$E$324)))*(1+$C$330))</f>
        <v>0</v>
      </c>
      <c r="K16" s="18">
        <f t="shared" si="0"/>
        <v>0</v>
      </c>
      <c r="P16">
        <v>98</v>
      </c>
      <c r="Q16" s="136" t="s">
        <v>379</v>
      </c>
    </row>
    <row r="17" spans="1:21" ht="14" thickBot="1">
      <c r="A17" s="29" t="s">
        <v>187</v>
      </c>
      <c r="B17" s="38"/>
      <c r="C17" s="10"/>
      <c r="D17" s="20">
        <v>400</v>
      </c>
      <c r="E17" s="10" t="s">
        <v>1</v>
      </c>
      <c r="F17" s="21">
        <f>+D17*C17</f>
        <v>0</v>
      </c>
      <c r="G17" s="22">
        <v>4</v>
      </c>
      <c r="H17" s="10" t="s">
        <v>1</v>
      </c>
      <c r="I17" s="22">
        <f>+G17*C17</f>
        <v>0</v>
      </c>
      <c r="J17" s="18">
        <f t="shared" si="1"/>
        <v>0</v>
      </c>
      <c r="K17" s="18">
        <f>IF(J17=0,0,J17/C17)</f>
        <v>0</v>
      </c>
      <c r="P17">
        <v>99</v>
      </c>
      <c r="Q17" s="135" t="s">
        <v>366</v>
      </c>
    </row>
    <row r="18" spans="1:21" ht="14" thickBot="1">
      <c r="A18" s="31" t="s">
        <v>76</v>
      </c>
      <c r="B18" s="36"/>
      <c r="C18" s="10"/>
      <c r="D18" s="20">
        <v>35000</v>
      </c>
      <c r="E18" s="10" t="s">
        <v>1</v>
      </c>
      <c r="F18" s="21">
        <f>+D18*C18</f>
        <v>0</v>
      </c>
      <c r="G18" s="22">
        <v>124</v>
      </c>
      <c r="H18" s="10" t="s">
        <v>1</v>
      </c>
      <c r="I18" s="22">
        <f>+G18*C18</f>
        <v>0</v>
      </c>
      <c r="J18" s="18">
        <f t="shared" si="1"/>
        <v>0</v>
      </c>
      <c r="K18" s="18">
        <f t="shared" si="0"/>
        <v>0</v>
      </c>
      <c r="P18">
        <v>100</v>
      </c>
      <c r="Q18" s="135" t="s">
        <v>367</v>
      </c>
    </row>
    <row r="19" spans="1:21" ht="14" thickBot="1">
      <c r="A19" s="31"/>
      <c r="B19" s="36" t="s">
        <v>155</v>
      </c>
      <c r="C19" s="10"/>
      <c r="D19" s="20">
        <f>((FEEDERS!$D$100*4)/10+FEEDERS!$D$19)*10</f>
        <v>79342.900000000009</v>
      </c>
      <c r="E19" s="10" t="s">
        <v>0</v>
      </c>
      <c r="F19" s="21">
        <f>+(D19*C19)/100</f>
        <v>0</v>
      </c>
      <c r="G19" s="22">
        <f>((FEEDERS!$G$100*4)/10+FEEDERS!$G$19)*10</f>
        <v>335.75</v>
      </c>
      <c r="H19" s="10" t="s">
        <v>0</v>
      </c>
      <c r="I19" s="22">
        <f>+(G19*C19)/100</f>
        <v>0</v>
      </c>
      <c r="J19" s="18">
        <f t="shared" si="1"/>
        <v>0</v>
      </c>
      <c r="K19" s="18">
        <f t="shared" si="0"/>
        <v>0</v>
      </c>
      <c r="P19">
        <v>101</v>
      </c>
      <c r="Q19" s="135" t="s">
        <v>368</v>
      </c>
    </row>
    <row r="20" spans="1:21" ht="14" thickBot="1">
      <c r="A20" s="31"/>
      <c r="B20" s="36" t="s">
        <v>156</v>
      </c>
      <c r="C20" s="10"/>
      <c r="D20" s="20">
        <f>((FEEDERS!$D$119*4)/10+FEEDERS!$D$19)*11</f>
        <v>34010.79</v>
      </c>
      <c r="E20" s="10" t="s">
        <v>0</v>
      </c>
      <c r="F20" s="21">
        <f>+(D20*C20)/100</f>
        <v>0</v>
      </c>
      <c r="G20" s="22">
        <f>((FEEDERS!$G$119*4)/10+FEEDERS!$G$19)*11</f>
        <v>347.32499999999999</v>
      </c>
      <c r="H20" s="10" t="s">
        <v>0</v>
      </c>
      <c r="I20" s="22">
        <f>+(G20*C20)/100</f>
        <v>0</v>
      </c>
      <c r="J20" s="18">
        <f t="shared" si="1"/>
        <v>0</v>
      </c>
      <c r="K20" s="18">
        <f>IF(J20=0,0,J20/C20)</f>
        <v>0</v>
      </c>
    </row>
    <row r="21" spans="1:21" ht="14" thickBot="1">
      <c r="A21" s="31" t="s">
        <v>77</v>
      </c>
      <c r="B21" s="36"/>
      <c r="C21" s="10"/>
      <c r="D21" s="20">
        <v>30000</v>
      </c>
      <c r="E21" s="10" t="s">
        <v>1</v>
      </c>
      <c r="F21" s="21">
        <f>+D21*C21</f>
        <v>0</v>
      </c>
      <c r="G21" s="22">
        <v>104</v>
      </c>
      <c r="H21" s="10" t="s">
        <v>1</v>
      </c>
      <c r="I21" s="22">
        <f>+G21*C21</f>
        <v>0</v>
      </c>
      <c r="J21" s="18">
        <f t="shared" si="1"/>
        <v>0</v>
      </c>
      <c r="K21" s="18">
        <f t="shared" si="0"/>
        <v>0</v>
      </c>
    </row>
    <row r="22" spans="1:21" ht="14" thickBot="1">
      <c r="A22" s="31"/>
      <c r="B22" s="36" t="s">
        <v>155</v>
      </c>
      <c r="C22" s="10"/>
      <c r="D22" s="20">
        <f>((FEEDERS!$D$99*4)/10+FEEDERS!$D$19)*8</f>
        <v>53390.959999999992</v>
      </c>
      <c r="E22" s="10" t="s">
        <v>0</v>
      </c>
      <c r="F22" s="21">
        <f>+(D22*C22)/100</f>
        <v>0</v>
      </c>
      <c r="G22" s="22">
        <f>((FEEDERS!$G$99*4)/10+FEEDERS!$G$19)*8</f>
        <v>255.79999999999998</v>
      </c>
      <c r="H22" s="10" t="s">
        <v>0</v>
      </c>
      <c r="I22" s="22">
        <f>+(G22*C22)/100</f>
        <v>0</v>
      </c>
      <c r="J22" s="18">
        <f t="shared" si="1"/>
        <v>0</v>
      </c>
      <c r="K22" s="18">
        <f t="shared" si="0"/>
        <v>0</v>
      </c>
    </row>
    <row r="23" spans="1:21" ht="14" thickBot="1">
      <c r="A23" s="31"/>
      <c r="B23" s="36" t="s">
        <v>156</v>
      </c>
      <c r="C23" s="10"/>
      <c r="D23" s="20">
        <f>((FEEDERS!$D$119*4)/10+FEEDERS!$D$19)*8</f>
        <v>24735.120000000003</v>
      </c>
      <c r="E23" s="10" t="s">
        <v>0</v>
      </c>
      <c r="F23" s="21">
        <f>+(D23*C23)/100</f>
        <v>0</v>
      </c>
      <c r="G23" s="22">
        <f>((FEEDERS!$G$119*4)/10+FEEDERS!$G$19)*8</f>
        <v>252.6</v>
      </c>
      <c r="H23" s="10" t="s">
        <v>0</v>
      </c>
      <c r="I23" s="22">
        <f>+(G23*C23)/100</f>
        <v>0</v>
      </c>
      <c r="J23" s="18">
        <f t="shared" si="1"/>
        <v>0</v>
      </c>
      <c r="K23" s="18">
        <f>IF(J23=0,0,J23/C23)</f>
        <v>0</v>
      </c>
    </row>
    <row r="24" spans="1:21" ht="14" thickBot="1">
      <c r="A24" s="31" t="s">
        <v>86</v>
      </c>
      <c r="B24" s="36"/>
      <c r="C24" s="10"/>
      <c r="D24" s="20">
        <v>25000</v>
      </c>
      <c r="E24" s="10" t="s">
        <v>1</v>
      </c>
      <c r="F24" s="21">
        <f>+D24*C24</f>
        <v>0</v>
      </c>
      <c r="G24" s="22">
        <v>82</v>
      </c>
      <c r="H24" s="10" t="s">
        <v>1</v>
      </c>
      <c r="I24" s="22">
        <f>+G24*C24</f>
        <v>0</v>
      </c>
      <c r="J24" s="18">
        <f t="shared" si="1"/>
        <v>0</v>
      </c>
      <c r="K24" s="18">
        <f t="shared" si="0"/>
        <v>0</v>
      </c>
    </row>
    <row r="25" spans="1:21" ht="14" thickBot="1">
      <c r="A25" s="31"/>
      <c r="B25" s="36" t="s">
        <v>155</v>
      </c>
      <c r="C25" s="10"/>
      <c r="D25" s="20">
        <f>((FEEDERS!$D$100*4)/10+FEEDERS!$D$19)*6</f>
        <v>47605.740000000005</v>
      </c>
      <c r="E25" s="10" t="s">
        <v>0</v>
      </c>
      <c r="F25" s="21">
        <f>+(D25*C25)/100</f>
        <v>0</v>
      </c>
      <c r="G25" s="22">
        <f>((FEEDERS!$G$100*4)/10+FEEDERS!$G$19)*6</f>
        <v>201.45000000000002</v>
      </c>
      <c r="H25" s="10" t="s">
        <v>0</v>
      </c>
      <c r="I25" s="22">
        <f>+(G25*C25)/100</f>
        <v>0</v>
      </c>
      <c r="J25" s="18">
        <f t="shared" si="1"/>
        <v>0</v>
      </c>
      <c r="K25" s="18">
        <f t="shared" si="0"/>
        <v>0</v>
      </c>
    </row>
    <row r="26" spans="1:21" ht="14" thickBot="1">
      <c r="A26" s="31"/>
      <c r="B26" s="36" t="s">
        <v>156</v>
      </c>
      <c r="C26" s="10"/>
      <c r="D26" s="20">
        <f>((FEEDERS!$D$119*4)/10+FEEDERS!$D$19)*7</f>
        <v>21643.230000000003</v>
      </c>
      <c r="E26" s="10" t="s">
        <v>0</v>
      </c>
      <c r="F26" s="21">
        <f>+(D26*C26)/100</f>
        <v>0</v>
      </c>
      <c r="G26" s="22">
        <f>((FEEDERS!$G$119*4)/10+FEEDERS!$G$19)*7</f>
        <v>221.02500000000001</v>
      </c>
      <c r="H26" s="10" t="s">
        <v>0</v>
      </c>
      <c r="I26" s="22">
        <f>+(G26*C26)/100</f>
        <v>0</v>
      </c>
      <c r="J26" s="18">
        <f t="shared" si="1"/>
        <v>0</v>
      </c>
      <c r="K26" s="18">
        <f>IF(J26=0,0,J26/C26)</f>
        <v>0</v>
      </c>
      <c r="U26" t="s">
        <v>535</v>
      </c>
    </row>
    <row r="27" spans="1:21" ht="14" thickBot="1">
      <c r="A27" s="31" t="s">
        <v>78</v>
      </c>
      <c r="B27" s="36"/>
      <c r="C27" s="10"/>
      <c r="D27" s="20">
        <v>23000</v>
      </c>
      <c r="E27" s="10" t="s">
        <v>1</v>
      </c>
      <c r="F27" s="21">
        <f>+D27*C27</f>
        <v>0</v>
      </c>
      <c r="G27" s="22">
        <v>66</v>
      </c>
      <c r="H27" s="10" t="s">
        <v>1</v>
      </c>
      <c r="I27" s="22">
        <f>+G27*C27</f>
        <v>0</v>
      </c>
      <c r="J27" s="18">
        <f t="shared" si="1"/>
        <v>0</v>
      </c>
      <c r="K27" s="18">
        <f t="shared" si="0"/>
        <v>0</v>
      </c>
    </row>
    <row r="28" spans="1:21" ht="14" thickBot="1">
      <c r="A28" s="31"/>
      <c r="B28" s="36" t="s">
        <v>155</v>
      </c>
      <c r="C28" s="10"/>
      <c r="D28" s="20">
        <f>((FEEDERS!$D$100*4)/10+FEEDERS!$D$19)*5</f>
        <v>39671.450000000004</v>
      </c>
      <c r="E28" s="10" t="s">
        <v>0</v>
      </c>
      <c r="F28" s="21">
        <f>+(D28*C28)/100</f>
        <v>0</v>
      </c>
      <c r="G28" s="22">
        <f>((FEEDERS!$G$100*4)/10+FEEDERS!$G$19)*5</f>
        <v>167.875</v>
      </c>
      <c r="H28" s="10" t="s">
        <v>0</v>
      </c>
      <c r="I28" s="22">
        <f>+(G28*C28)/100</f>
        <v>0</v>
      </c>
      <c r="J28" s="18">
        <f t="shared" si="1"/>
        <v>0</v>
      </c>
      <c r="K28" s="18">
        <f t="shared" si="0"/>
        <v>0</v>
      </c>
    </row>
    <row r="29" spans="1:21" ht="14" thickBot="1">
      <c r="A29" s="31"/>
      <c r="B29" s="36" t="s">
        <v>156</v>
      </c>
      <c r="C29" s="10"/>
      <c r="D29" s="20">
        <f>((FEEDERS!$D$118*4)/10+FEEDERS!$D$19)*6</f>
        <v>16876.86</v>
      </c>
      <c r="E29" s="10" t="s">
        <v>0</v>
      </c>
      <c r="F29" s="21">
        <f>+(D29*C29)/100</f>
        <v>0</v>
      </c>
      <c r="G29" s="22">
        <f>((FEEDERS!$G$118*4)/10+FEEDERS!$G$19)*6</f>
        <v>182.25</v>
      </c>
      <c r="H29" s="10" t="s">
        <v>0</v>
      </c>
      <c r="I29" s="22">
        <f>+(G29*C29)/100</f>
        <v>0</v>
      </c>
      <c r="J29" s="18">
        <f t="shared" si="1"/>
        <v>0</v>
      </c>
      <c r="K29" s="18">
        <f>IF(J29=0,0,J29/C29)</f>
        <v>0</v>
      </c>
    </row>
    <row r="30" spans="1:21" ht="14" thickBot="1">
      <c r="A30" s="31" t="s">
        <v>79</v>
      </c>
      <c r="B30" s="36"/>
      <c r="C30" s="10"/>
      <c r="D30" s="20">
        <v>20000</v>
      </c>
      <c r="E30" s="10" t="s">
        <v>1</v>
      </c>
      <c r="F30" s="21">
        <f>+D30*C30</f>
        <v>0</v>
      </c>
      <c r="G30" s="22">
        <v>55</v>
      </c>
      <c r="H30" s="10" t="s">
        <v>1</v>
      </c>
      <c r="I30" s="22">
        <f>+G30*C30</f>
        <v>0</v>
      </c>
      <c r="J30" s="18">
        <f t="shared" si="1"/>
        <v>0</v>
      </c>
      <c r="K30" s="18">
        <f t="shared" si="0"/>
        <v>0</v>
      </c>
    </row>
    <row r="31" spans="1:21" ht="14" thickBot="1">
      <c r="A31" s="31"/>
      <c r="B31" s="36" t="s">
        <v>155</v>
      </c>
      <c r="C31" s="10"/>
      <c r="D31" s="20">
        <f>((FEEDERS!$D$100*4)/10+FEEDERS!$D$19)*4</f>
        <v>31737.160000000003</v>
      </c>
      <c r="E31" s="10" t="s">
        <v>0</v>
      </c>
      <c r="F31" s="21">
        <f>+(D31*C31)/100</f>
        <v>0</v>
      </c>
      <c r="G31" s="22">
        <f>((FEEDERS!$G$100*4)/10+FEEDERS!$G$19)*4</f>
        <v>134.30000000000001</v>
      </c>
      <c r="H31" s="10" t="s">
        <v>0</v>
      </c>
      <c r="I31" s="22">
        <f>+(G31*C31)/100</f>
        <v>0</v>
      </c>
      <c r="J31" s="18">
        <f t="shared" si="1"/>
        <v>0</v>
      </c>
      <c r="K31" s="18">
        <f t="shared" si="0"/>
        <v>0</v>
      </c>
    </row>
    <row r="32" spans="1:21" ht="14" thickBot="1">
      <c r="A32" s="31"/>
      <c r="B32" s="36" t="s">
        <v>156</v>
      </c>
      <c r="C32" s="10"/>
      <c r="D32" s="20">
        <f>((FEEDERS!$D$118*4)/10+FEEDERS!$D$19)*5</f>
        <v>14064.050000000003</v>
      </c>
      <c r="E32" s="10" t="s">
        <v>0</v>
      </c>
      <c r="F32" s="21">
        <f>+(D32*C32)/100</f>
        <v>0</v>
      </c>
      <c r="G32" s="22">
        <f>((FEEDERS!$G$118*4)/10+FEEDERS!$G$19)*5</f>
        <v>151.875</v>
      </c>
      <c r="H32" s="10" t="s">
        <v>0</v>
      </c>
      <c r="I32" s="22">
        <f>+(G32*C32)/100</f>
        <v>0</v>
      </c>
      <c r="J32" s="18">
        <f t="shared" si="1"/>
        <v>0</v>
      </c>
      <c r="K32" s="18">
        <f>IF(J32=0,0,J32/C32)</f>
        <v>0</v>
      </c>
    </row>
    <row r="33" spans="1:11" ht="14" thickBot="1">
      <c r="A33" s="31" t="s">
        <v>85</v>
      </c>
      <c r="B33" s="36"/>
      <c r="C33" s="10"/>
      <c r="D33" s="20">
        <v>17000</v>
      </c>
      <c r="E33" s="10" t="s">
        <v>1</v>
      </c>
      <c r="F33" s="21">
        <f>+D33*C33</f>
        <v>0</v>
      </c>
      <c r="G33" s="22">
        <v>51</v>
      </c>
      <c r="H33" s="10" t="s">
        <v>1</v>
      </c>
      <c r="I33" s="22">
        <f>+G33*C33</f>
        <v>0</v>
      </c>
      <c r="J33" s="18">
        <f t="shared" si="1"/>
        <v>0</v>
      </c>
      <c r="K33" s="18">
        <f t="shared" si="0"/>
        <v>0</v>
      </c>
    </row>
    <row r="34" spans="1:11" ht="14" thickBot="1">
      <c r="A34" s="31"/>
      <c r="B34" s="36" t="s">
        <v>155</v>
      </c>
      <c r="C34" s="10"/>
      <c r="D34" s="20">
        <f>((FEEDERS!$D$100*4)/10+FEEDERS!$D$19)*3</f>
        <v>23802.870000000003</v>
      </c>
      <c r="E34" s="10" t="s">
        <v>0</v>
      </c>
      <c r="F34" s="21">
        <f>+(D34*C34)/100</f>
        <v>0</v>
      </c>
      <c r="G34" s="22">
        <f>((FEEDERS!$G$100*4)/10+FEEDERS!$G$19)*3</f>
        <v>100.72500000000001</v>
      </c>
      <c r="H34" s="10" t="s">
        <v>0</v>
      </c>
      <c r="I34" s="22">
        <f>+(G34*C34)/100</f>
        <v>0</v>
      </c>
      <c r="J34" s="18">
        <f t="shared" si="1"/>
        <v>0</v>
      </c>
      <c r="K34" s="18">
        <f t="shared" si="0"/>
        <v>0</v>
      </c>
    </row>
    <row r="35" spans="1:11" ht="14" thickBot="1">
      <c r="A35" s="31"/>
      <c r="B35" s="36" t="s">
        <v>156</v>
      </c>
      <c r="C35" s="10"/>
      <c r="D35" s="20">
        <f>((FEEDERS!$D$117*4)/10+FEEDERS!$D$17)*4</f>
        <v>8974.880000000001</v>
      </c>
      <c r="E35" s="10" t="s">
        <v>0</v>
      </c>
      <c r="F35" s="21">
        <f>+(D35*C35)/100</f>
        <v>0</v>
      </c>
      <c r="G35" s="22">
        <f>((FEEDERS!$G$117*4)/10+FEEDERS!$G$17)*4</f>
        <v>95.6</v>
      </c>
      <c r="H35" s="10" t="s">
        <v>0</v>
      </c>
      <c r="I35" s="22">
        <f>+(G35*C35)/100</f>
        <v>0</v>
      </c>
      <c r="J35" s="18">
        <f t="shared" si="1"/>
        <v>0</v>
      </c>
      <c r="K35" s="18">
        <f>IF(J35=0,0,J35/C35)</f>
        <v>0</v>
      </c>
    </row>
    <row r="36" spans="1:11" ht="14" thickBot="1">
      <c r="A36" s="31" t="s">
        <v>84</v>
      </c>
      <c r="B36" s="36"/>
      <c r="C36" s="10"/>
      <c r="D36" s="20">
        <v>15000</v>
      </c>
      <c r="E36" s="10" t="s">
        <v>1</v>
      </c>
      <c r="F36" s="21">
        <f>+D36*C36</f>
        <v>0</v>
      </c>
      <c r="G36" s="22">
        <v>41</v>
      </c>
      <c r="H36" s="10" t="s">
        <v>1</v>
      </c>
      <c r="I36" s="22">
        <f>+G36*C36</f>
        <v>0</v>
      </c>
      <c r="J36" s="18">
        <f t="shared" si="1"/>
        <v>0</v>
      </c>
      <c r="K36" s="18">
        <f t="shared" si="0"/>
        <v>0</v>
      </c>
    </row>
    <row r="37" spans="1:11" ht="14" thickBot="1">
      <c r="A37" s="31"/>
      <c r="B37" s="36" t="s">
        <v>155</v>
      </c>
      <c r="C37" s="10"/>
      <c r="D37" s="20">
        <f>((FEEDERS!$D$98*4)/10+FEEDERS!$D$17)*3</f>
        <v>16171.079999999998</v>
      </c>
      <c r="E37" s="10" t="s">
        <v>0</v>
      </c>
      <c r="F37" s="21">
        <f>+(D37*C37)/100</f>
        <v>0</v>
      </c>
      <c r="G37" s="22">
        <f>((FEEDERS!$G$98*4)/10+FEEDERS!$G$17)*3</f>
        <v>75.300000000000011</v>
      </c>
      <c r="H37" s="10" t="s">
        <v>0</v>
      </c>
      <c r="I37" s="22">
        <f>+(G37*C37)/100</f>
        <v>0</v>
      </c>
      <c r="J37" s="18">
        <f t="shared" si="1"/>
        <v>0</v>
      </c>
      <c r="K37" s="18">
        <f t="shared" si="0"/>
        <v>0</v>
      </c>
    </row>
    <row r="38" spans="1:11" ht="14" thickBot="1">
      <c r="A38" s="31"/>
      <c r="B38" s="36" t="s">
        <v>156</v>
      </c>
      <c r="C38" s="10"/>
      <c r="D38" s="20">
        <f>((FEEDERS!$D$118*4)/10+FEEDERS!$D$19)*3</f>
        <v>8438.43</v>
      </c>
      <c r="E38" s="10" t="s">
        <v>0</v>
      </c>
      <c r="F38" s="21">
        <f>+(D38*C38)/100</f>
        <v>0</v>
      </c>
      <c r="G38" s="22">
        <f>((FEEDERS!$G$118*4)/10+FEEDERS!$G$19)*3</f>
        <v>91.125</v>
      </c>
      <c r="H38" s="10" t="s">
        <v>0</v>
      </c>
      <c r="I38" s="22">
        <f>+(G38*C38)/100</f>
        <v>0</v>
      </c>
      <c r="J38" s="18">
        <f t="shared" si="1"/>
        <v>0</v>
      </c>
      <c r="K38" s="18">
        <f>IF(J38=0,0,J38/C38)</f>
        <v>0</v>
      </c>
    </row>
    <row r="39" spans="1:11" ht="14" thickBot="1">
      <c r="A39" s="29" t="s">
        <v>206</v>
      </c>
      <c r="B39" s="36"/>
      <c r="C39" s="10"/>
      <c r="D39" s="176">
        <v>9000</v>
      </c>
      <c r="E39" s="10" t="s">
        <v>1</v>
      </c>
      <c r="F39" s="21">
        <f>+D39*C39</f>
        <v>0</v>
      </c>
      <c r="G39" s="22">
        <v>33</v>
      </c>
      <c r="H39" s="10" t="s">
        <v>1</v>
      </c>
      <c r="I39" s="22">
        <f>+G39*C39</f>
        <v>0</v>
      </c>
      <c r="J39" s="18">
        <f t="shared" si="1"/>
        <v>0</v>
      </c>
      <c r="K39" s="18">
        <f t="shared" si="0"/>
        <v>0</v>
      </c>
    </row>
    <row r="40" spans="1:11" ht="14" thickBot="1">
      <c r="A40" s="31"/>
      <c r="B40" s="34" t="s">
        <v>177</v>
      </c>
      <c r="C40" s="10"/>
      <c r="D40" s="20">
        <f>((FEEDERS!$D$100*4)/10+FEEDERS!$D$19)*2</f>
        <v>15868.580000000002</v>
      </c>
      <c r="E40" s="10" t="s">
        <v>0</v>
      </c>
      <c r="F40" s="21">
        <f>+(D40*C40)/100</f>
        <v>0</v>
      </c>
      <c r="G40" s="22">
        <f>((FEEDERS!$G$100*4)/10+FEEDERS!$G$19)*2</f>
        <v>67.150000000000006</v>
      </c>
      <c r="H40" s="10" t="s">
        <v>0</v>
      </c>
      <c r="I40" s="22">
        <f>+(G40*C40)/100</f>
        <v>0</v>
      </c>
      <c r="J40" s="18">
        <f t="shared" si="1"/>
        <v>0</v>
      </c>
      <c r="K40" s="18">
        <f t="shared" si="0"/>
        <v>0</v>
      </c>
    </row>
    <row r="41" spans="1:11" ht="14" thickBot="1">
      <c r="A41" s="31"/>
      <c r="B41" s="34" t="s">
        <v>176</v>
      </c>
      <c r="C41" s="10"/>
      <c r="D41" s="20">
        <f>((FEEDERS!$D$99*4)/10+FEEDERS!$D$19)*2</f>
        <v>13347.739999999998</v>
      </c>
      <c r="E41" s="10" t="s">
        <v>0</v>
      </c>
      <c r="F41" s="21">
        <f>+(D41*C41)/100</f>
        <v>0</v>
      </c>
      <c r="G41" s="22">
        <f>((FEEDERS!$G$99*4)/10+FEEDERS!$G$19)*2</f>
        <v>63.949999999999996</v>
      </c>
      <c r="H41" s="10" t="s">
        <v>0</v>
      </c>
      <c r="I41" s="22">
        <f>+(G41*C41)/100</f>
        <v>0</v>
      </c>
      <c r="J41" s="18">
        <f t="shared" si="1"/>
        <v>0</v>
      </c>
      <c r="K41" s="18">
        <f>IF(J41=0,0,J41/C41)</f>
        <v>0</v>
      </c>
    </row>
    <row r="42" spans="1:11" ht="14" thickBot="1">
      <c r="A42" s="31"/>
      <c r="B42" s="36" t="s">
        <v>156</v>
      </c>
      <c r="C42" s="10"/>
      <c r="D42" s="20">
        <f>((FEEDERS!$D$116*4)/10+FEEDERS!$D$16)*3</f>
        <v>5775.9000000000005</v>
      </c>
      <c r="E42" s="10" t="s">
        <v>0</v>
      </c>
      <c r="F42" s="21">
        <f>+(D42*C42)/100</f>
        <v>0</v>
      </c>
      <c r="G42" s="22">
        <f>((FEEDERS!$G$116*4)/10+FEEDERS!$G$16)*3</f>
        <v>66.300000000000011</v>
      </c>
      <c r="H42" s="10" t="s">
        <v>0</v>
      </c>
      <c r="I42" s="22">
        <f>+(G42*C42)/100</f>
        <v>0</v>
      </c>
      <c r="J42" s="18">
        <f t="shared" si="1"/>
        <v>0</v>
      </c>
      <c r="K42" s="18">
        <f>IF(J42=0,0,J42/C42)</f>
        <v>0</v>
      </c>
    </row>
    <row r="43" spans="1:11" ht="14" thickBot="1">
      <c r="A43" s="31" t="s">
        <v>97</v>
      </c>
      <c r="B43" s="36"/>
      <c r="C43" s="10"/>
      <c r="D43" s="176">
        <v>8000</v>
      </c>
      <c r="E43" s="10" t="s">
        <v>1</v>
      </c>
      <c r="F43" s="21">
        <f>+D43*C43</f>
        <v>0</v>
      </c>
      <c r="G43" s="22">
        <v>28</v>
      </c>
      <c r="H43" s="10" t="s">
        <v>1</v>
      </c>
      <c r="I43" s="22">
        <f>+G43*C43</f>
        <v>0</v>
      </c>
      <c r="J43" s="18">
        <f t="shared" si="1"/>
        <v>0</v>
      </c>
      <c r="K43" s="18">
        <f t="shared" si="0"/>
        <v>0</v>
      </c>
    </row>
    <row r="44" spans="1:11" ht="14" thickBot="1">
      <c r="A44" s="31"/>
      <c r="B44" s="36" t="s">
        <v>155</v>
      </c>
      <c r="C44" s="10"/>
      <c r="D44" s="20">
        <f>((FEEDERS!$D$97*4)/10+FEEDERS!$D$17)*2</f>
        <v>9779.4399999999987</v>
      </c>
      <c r="E44" s="10" t="s">
        <v>0</v>
      </c>
      <c r="F44" s="21">
        <f>+(D44*C44)/100</f>
        <v>0</v>
      </c>
      <c r="G44" s="22">
        <f>((FEEDERS!$G$97*4)/10+FEEDERS!$G$17)*2</f>
        <v>48.6</v>
      </c>
      <c r="H44" s="10" t="s">
        <v>0</v>
      </c>
      <c r="I44" s="22">
        <f>+(G44*C44)/100</f>
        <v>0</v>
      </c>
      <c r="J44" s="18">
        <f t="shared" si="1"/>
        <v>0</v>
      </c>
      <c r="K44" s="18">
        <f t="shared" si="0"/>
        <v>0</v>
      </c>
    </row>
    <row r="45" spans="1:11" ht="14" thickBot="1">
      <c r="A45" s="31"/>
      <c r="B45" s="36" t="s">
        <v>156</v>
      </c>
      <c r="C45" s="10"/>
      <c r="D45" s="20">
        <f>((FEEDERS!$D$117*4)/10+FEEDERS!$D$17)*2</f>
        <v>4487.4400000000005</v>
      </c>
      <c r="E45" s="10" t="s">
        <v>0</v>
      </c>
      <c r="F45" s="21">
        <f>+(D45*C45)/100</f>
        <v>0</v>
      </c>
      <c r="G45" s="22">
        <f>((FEEDERS!$G$117*4)/10+FEEDERS!$G$17)*2</f>
        <v>47.8</v>
      </c>
      <c r="H45" s="10" t="s">
        <v>0</v>
      </c>
      <c r="I45" s="22">
        <f>+(G45*C45)/100</f>
        <v>0</v>
      </c>
      <c r="J45" s="18">
        <f t="shared" si="1"/>
        <v>0</v>
      </c>
      <c r="K45" s="18">
        <f t="shared" si="0"/>
        <v>0</v>
      </c>
    </row>
    <row r="46" spans="1:11" ht="14" thickBot="1">
      <c r="A46" s="29" t="s">
        <v>205</v>
      </c>
      <c r="B46" s="36"/>
      <c r="C46" s="10"/>
      <c r="D46" s="176">
        <v>3000</v>
      </c>
      <c r="E46" s="10" t="s">
        <v>1</v>
      </c>
      <c r="F46" s="21">
        <f>+D46*C46</f>
        <v>0</v>
      </c>
      <c r="G46" s="22">
        <v>14</v>
      </c>
      <c r="H46" s="10" t="s">
        <v>1</v>
      </c>
      <c r="I46" s="22">
        <f>+G46*C46</f>
        <v>0</v>
      </c>
      <c r="J46" s="18">
        <f t="shared" si="1"/>
        <v>0</v>
      </c>
      <c r="K46" s="18">
        <f t="shared" si="0"/>
        <v>0</v>
      </c>
    </row>
    <row r="47" spans="1:11" ht="14" thickBot="1">
      <c r="A47" s="31"/>
      <c r="B47" s="34" t="s">
        <v>177</v>
      </c>
      <c r="C47" s="10"/>
      <c r="D47" s="20">
        <f>(FEEDERS!$D$100*4)/10+FEEDERS!$D$19</f>
        <v>7934.2900000000009</v>
      </c>
      <c r="E47" s="10" t="s">
        <v>0</v>
      </c>
      <c r="F47" s="21">
        <f>+(D47*C47)/100</f>
        <v>0</v>
      </c>
      <c r="G47" s="22">
        <f>(FEEDERS!$G$100*4)/10+FEEDERS!$G$19</f>
        <v>33.575000000000003</v>
      </c>
      <c r="H47" s="10" t="s">
        <v>0</v>
      </c>
      <c r="I47" s="22">
        <f>+(G47*C47)/100</f>
        <v>0</v>
      </c>
      <c r="J47" s="18">
        <f t="shared" si="1"/>
        <v>0</v>
      </c>
      <c r="K47" s="18">
        <f t="shared" si="0"/>
        <v>0</v>
      </c>
    </row>
    <row r="48" spans="1:11" ht="14" thickBot="1">
      <c r="A48" s="31"/>
      <c r="B48" s="34" t="s">
        <v>176</v>
      </c>
      <c r="C48" s="10"/>
      <c r="D48" s="20">
        <f>(FEEDERS!$D$99*4)/10+FEEDERS!$D$19</f>
        <v>6673.869999999999</v>
      </c>
      <c r="E48" s="10" t="s">
        <v>0</v>
      </c>
      <c r="F48" s="21">
        <f>+(D48*C48)/100</f>
        <v>0</v>
      </c>
      <c r="G48" s="22">
        <f>(FEEDERS!$G$99*4)/10+FEEDERS!$G$19</f>
        <v>31.974999999999998</v>
      </c>
      <c r="H48" s="10" t="s">
        <v>0</v>
      </c>
      <c r="I48" s="22">
        <f>+(G48*C48)/100</f>
        <v>0</v>
      </c>
      <c r="J48" s="18">
        <f t="shared" si="1"/>
        <v>0</v>
      </c>
      <c r="K48" s="18">
        <f t="shared" si="0"/>
        <v>0</v>
      </c>
    </row>
    <row r="49" spans="1:11" ht="14" thickBot="1">
      <c r="A49" s="31"/>
      <c r="B49" s="34" t="s">
        <v>462</v>
      </c>
      <c r="C49" s="10"/>
      <c r="D49" s="20">
        <f>((FEEDERS!$D$113*4)/10+FEEDERS!$D$16)*2</f>
        <v>3145.84</v>
      </c>
      <c r="E49" s="10" t="s">
        <v>0</v>
      </c>
      <c r="F49" s="21">
        <f>+(D49*C49)/100</f>
        <v>0</v>
      </c>
      <c r="G49" s="22">
        <f>((FEEDERS!$G$113*4)/10+FEEDERS!$G$16)*2</f>
        <v>40.200000000000003</v>
      </c>
      <c r="H49" s="10" t="s">
        <v>0</v>
      </c>
      <c r="I49" s="22">
        <f>+(G49*C49)/100</f>
        <v>0</v>
      </c>
      <c r="J49" s="18">
        <f t="shared" si="1"/>
        <v>0</v>
      </c>
      <c r="K49" s="18">
        <f t="shared" si="0"/>
        <v>0</v>
      </c>
    </row>
    <row r="50" spans="1:11" ht="14" thickBot="1">
      <c r="A50" s="31"/>
      <c r="B50" s="34" t="s">
        <v>461</v>
      </c>
      <c r="C50" s="10"/>
      <c r="D50" s="20">
        <f>(FEEDERS!$D$119*4)/10+FEEDERS!$D$19</f>
        <v>3091.8900000000003</v>
      </c>
      <c r="E50" s="10" t="s">
        <v>0</v>
      </c>
      <c r="F50" s="21">
        <f>+(D50*C50)/100</f>
        <v>0</v>
      </c>
      <c r="G50" s="22">
        <f>(FEEDERS!$G$119*4)/10+FEEDERS!$G$19</f>
        <v>31.574999999999999</v>
      </c>
      <c r="H50" s="10" t="s">
        <v>0</v>
      </c>
      <c r="I50" s="22">
        <f>+(G50*C50)/100</f>
        <v>0</v>
      </c>
      <c r="J50" s="18">
        <f t="shared" si="1"/>
        <v>0</v>
      </c>
      <c r="K50" s="18">
        <f t="shared" si="0"/>
        <v>0</v>
      </c>
    </row>
    <row r="51" spans="1:11" ht="14" thickBot="1">
      <c r="A51" s="29" t="s">
        <v>180</v>
      </c>
      <c r="B51" s="36"/>
      <c r="C51" s="10"/>
      <c r="D51" s="176">
        <v>2300</v>
      </c>
      <c r="E51" s="10" t="s">
        <v>1</v>
      </c>
      <c r="F51" s="21">
        <f>+D51*C51</f>
        <v>0</v>
      </c>
      <c r="G51" s="22">
        <v>12</v>
      </c>
      <c r="H51" s="10" t="s">
        <v>1</v>
      </c>
      <c r="I51" s="22">
        <f>+G51*C51</f>
        <v>0</v>
      </c>
      <c r="J51" s="18">
        <f t="shared" si="1"/>
        <v>0</v>
      </c>
      <c r="K51" s="18">
        <f t="shared" si="0"/>
        <v>0</v>
      </c>
    </row>
    <row r="52" spans="1:11" ht="14" thickBot="1">
      <c r="A52" s="31"/>
      <c r="B52" s="36" t="s">
        <v>155</v>
      </c>
      <c r="C52" s="10"/>
      <c r="D52" s="20">
        <f>(FEEDERS!$D$95*4)/10+FEEDERS!$D$16</f>
        <v>3616.6400000000003</v>
      </c>
      <c r="E52" s="10" t="s">
        <v>0</v>
      </c>
      <c r="F52" s="21">
        <f>+(D52*C52)/100</f>
        <v>0</v>
      </c>
      <c r="G52" s="22">
        <f>(FEEDERS!$G$95*4)/10+FEEDERS!$G$16</f>
        <v>20.9</v>
      </c>
      <c r="H52" s="10" t="s">
        <v>0</v>
      </c>
      <c r="I52" s="22">
        <f>+(G52*C52)/100</f>
        <v>0</v>
      </c>
      <c r="J52" s="18">
        <f t="shared" si="1"/>
        <v>0</v>
      </c>
      <c r="K52" s="18">
        <f t="shared" si="0"/>
        <v>0</v>
      </c>
    </row>
    <row r="53" spans="1:11" ht="14" thickBot="1">
      <c r="A53" s="31"/>
      <c r="B53" s="36" t="s">
        <v>156</v>
      </c>
      <c r="C53" s="10"/>
      <c r="D53" s="20">
        <f>(FEEDERS!$D$115*4)/10+FEEDERS!$D$16</f>
        <v>1795.1000000000001</v>
      </c>
      <c r="E53" s="10" t="s">
        <v>0</v>
      </c>
      <c r="F53" s="21">
        <f>+(D53*C53)/100</f>
        <v>0</v>
      </c>
      <c r="G53" s="22">
        <f>(FEEDERS!$G$115*4)/10+FEEDERS!$G$16</f>
        <v>21.299999999999997</v>
      </c>
      <c r="H53" s="10" t="s">
        <v>0</v>
      </c>
      <c r="I53" s="22">
        <f>+(G53*C53)/100</f>
        <v>0</v>
      </c>
      <c r="J53" s="18">
        <f t="shared" si="1"/>
        <v>0</v>
      </c>
      <c r="K53" s="18">
        <f>IF(J53=0,0,J53/C53)</f>
        <v>0</v>
      </c>
    </row>
    <row r="54" spans="1:11" ht="14" thickBot="1">
      <c r="A54" s="29" t="s">
        <v>429</v>
      </c>
      <c r="B54" s="36"/>
      <c r="C54" s="10"/>
      <c r="D54" s="176">
        <v>2300</v>
      </c>
      <c r="E54" s="10" t="s">
        <v>1</v>
      </c>
      <c r="F54" s="21">
        <f>+D54*C54</f>
        <v>0</v>
      </c>
      <c r="G54" s="22">
        <v>12</v>
      </c>
      <c r="H54" s="10" t="s">
        <v>1</v>
      </c>
      <c r="I54" s="22">
        <f>+G54*C54</f>
        <v>0</v>
      </c>
      <c r="J54" s="18">
        <f t="shared" si="1"/>
        <v>0</v>
      </c>
      <c r="K54" s="18">
        <f t="shared" si="0"/>
        <v>0</v>
      </c>
    </row>
    <row r="55" spans="1:11" ht="14" thickBot="1">
      <c r="A55" s="31"/>
      <c r="B55" s="36" t="s">
        <v>155</v>
      </c>
      <c r="C55" s="10"/>
      <c r="D55" s="20">
        <f>(FEEDERS!$D$94*4)/10+FEEDERS!$D$16</f>
        <v>3261.32</v>
      </c>
      <c r="E55" s="10" t="s">
        <v>0</v>
      </c>
      <c r="F55" s="21">
        <f>+(D55*C55)/100</f>
        <v>0</v>
      </c>
      <c r="G55" s="22">
        <f>(FEEDERS!$G$94*4)/10+FEEDERS!$G$16</f>
        <v>19.7</v>
      </c>
      <c r="H55" s="10" t="s">
        <v>0</v>
      </c>
      <c r="I55" s="22">
        <f>+(G55*C55)/100</f>
        <v>0</v>
      </c>
      <c r="J55" s="18">
        <f t="shared" si="1"/>
        <v>0</v>
      </c>
      <c r="K55" s="18">
        <f t="shared" si="0"/>
        <v>0</v>
      </c>
    </row>
    <row r="56" spans="1:11" ht="14" thickBot="1">
      <c r="A56" s="31"/>
      <c r="B56" s="36" t="s">
        <v>156</v>
      </c>
      <c r="C56" s="10"/>
      <c r="D56" s="20">
        <f>(FEEDERS!$D$114*4)/10+FEEDERS!$D$16</f>
        <v>1782.5</v>
      </c>
      <c r="E56" s="10" t="s">
        <v>0</v>
      </c>
      <c r="F56" s="21">
        <f>+(D56*C56)/100</f>
        <v>0</v>
      </c>
      <c r="G56" s="22">
        <f>(FEEDERS!$G$114*4)/10+FEEDERS!$G$16</f>
        <v>20.5</v>
      </c>
      <c r="H56" s="10" t="s">
        <v>0</v>
      </c>
      <c r="I56" s="22">
        <f>+(G56*C56)/100</f>
        <v>0</v>
      </c>
      <c r="J56" s="18">
        <f t="shared" si="1"/>
        <v>0</v>
      </c>
      <c r="K56" s="18">
        <f t="shared" si="0"/>
        <v>0</v>
      </c>
    </row>
    <row r="57" spans="1:11" ht="14" thickBot="1">
      <c r="A57" s="31" t="s">
        <v>73</v>
      </c>
      <c r="B57" s="36"/>
      <c r="C57" s="10"/>
      <c r="D57" s="176">
        <v>2300</v>
      </c>
      <c r="E57" s="10" t="s">
        <v>1</v>
      </c>
      <c r="F57" s="21">
        <f>+D57*C57</f>
        <v>0</v>
      </c>
      <c r="G57" s="22">
        <v>12</v>
      </c>
      <c r="H57" s="10" t="s">
        <v>1</v>
      </c>
      <c r="I57" s="22">
        <f>+G57*C57</f>
        <v>0</v>
      </c>
      <c r="J57" s="18">
        <f t="shared" si="1"/>
        <v>0</v>
      </c>
      <c r="K57" s="18">
        <f t="shared" si="0"/>
        <v>0</v>
      </c>
    </row>
    <row r="58" spans="1:11" ht="14" thickBot="1">
      <c r="A58" s="31"/>
      <c r="B58" s="36" t="s">
        <v>155</v>
      </c>
      <c r="C58" s="10"/>
      <c r="D58" s="20">
        <f>(FEEDERS!$D$93*4)/10+FEEDERS!$D$15</f>
        <v>2492.79</v>
      </c>
      <c r="E58" s="10" t="s">
        <v>0</v>
      </c>
      <c r="F58" s="21">
        <f>+(D58*C58)/100</f>
        <v>0</v>
      </c>
      <c r="G58" s="22">
        <f>(FEEDERS!$G$93*4)/10+FEEDERS!$G$15</f>
        <v>18.012999999999998</v>
      </c>
      <c r="H58" s="10" t="s">
        <v>0</v>
      </c>
      <c r="I58" s="22">
        <f>+(G58*C58)/100</f>
        <v>0</v>
      </c>
      <c r="J58" s="18">
        <f t="shared" si="1"/>
        <v>0</v>
      </c>
      <c r="K58" s="18">
        <f t="shared" si="0"/>
        <v>0</v>
      </c>
    </row>
    <row r="59" spans="1:11" ht="14" thickBot="1">
      <c r="A59" s="31"/>
      <c r="B59" s="36" t="s">
        <v>156</v>
      </c>
      <c r="C59" s="10"/>
      <c r="D59" s="20">
        <f>(FEEDERS!$D$113*4)/10+FEEDERS!$D$16</f>
        <v>1572.92</v>
      </c>
      <c r="E59" s="10" t="s">
        <v>0</v>
      </c>
      <c r="F59" s="21">
        <f>+(D59*C59)/100</f>
        <v>0</v>
      </c>
      <c r="G59" s="22">
        <f>(FEEDERS!$G$113*4)/10+FEEDERS!$G$16</f>
        <v>20.100000000000001</v>
      </c>
      <c r="H59" s="10" t="s">
        <v>0</v>
      </c>
      <c r="I59" s="22">
        <f>+(G59*C59)/100</f>
        <v>0</v>
      </c>
      <c r="J59" s="18">
        <f t="shared" si="1"/>
        <v>0</v>
      </c>
      <c r="K59" s="18">
        <f t="shared" si="0"/>
        <v>0</v>
      </c>
    </row>
    <row r="60" spans="1:11" ht="14" thickBot="1">
      <c r="A60" s="31" t="s">
        <v>72</v>
      </c>
      <c r="B60" s="36"/>
      <c r="C60" s="10"/>
      <c r="D60" s="176">
        <v>2000</v>
      </c>
      <c r="E60" s="10" t="s">
        <v>1</v>
      </c>
      <c r="F60" s="21">
        <f>+D60*C60</f>
        <v>0</v>
      </c>
      <c r="G60" s="22">
        <v>10</v>
      </c>
      <c r="H60" s="10" t="s">
        <v>1</v>
      </c>
      <c r="I60" s="22">
        <f>+G60*C60</f>
        <v>0</v>
      </c>
      <c r="J60" s="18">
        <f t="shared" si="1"/>
        <v>0</v>
      </c>
      <c r="K60" s="18">
        <f t="shared" si="0"/>
        <v>0</v>
      </c>
    </row>
    <row r="61" spans="1:11" ht="14" thickBot="1">
      <c r="A61" s="31"/>
      <c r="B61" s="36" t="s">
        <v>155</v>
      </c>
      <c r="C61" s="10"/>
      <c r="D61" s="20">
        <f>(FEEDERS!$D$88*4)/10+FEEDERS!$D$13</f>
        <v>1181.04</v>
      </c>
      <c r="E61" s="10" t="s">
        <v>0</v>
      </c>
      <c r="F61" s="21">
        <f>+(D61*C61)/100</f>
        <v>0</v>
      </c>
      <c r="G61" s="22">
        <f>(FEEDERS!$G$88*4)/10+FEEDERS!$G$13</f>
        <v>11.782</v>
      </c>
      <c r="H61" s="10" t="s">
        <v>0</v>
      </c>
      <c r="I61" s="22">
        <f>+(G61*C61)/100</f>
        <v>0</v>
      </c>
      <c r="J61" s="18">
        <f t="shared" si="1"/>
        <v>0</v>
      </c>
      <c r="K61" s="18">
        <f t="shared" si="0"/>
        <v>0</v>
      </c>
    </row>
    <row r="62" spans="1:11" ht="14" thickBot="1">
      <c r="A62" s="31"/>
      <c r="B62" s="36" t="s">
        <v>156</v>
      </c>
      <c r="C62" s="10"/>
      <c r="D62" s="20">
        <f>(FEEDERS!$D$108*4)/10+FEEDERS!$D$13</f>
        <v>753.90000000000009</v>
      </c>
      <c r="E62" s="10" t="s">
        <v>0</v>
      </c>
      <c r="F62" s="21">
        <f>+(D62*C62)/100</f>
        <v>0</v>
      </c>
      <c r="G62" s="22">
        <f>(FEEDERS!$G$108*4)/10+FEEDERS!$G$13</f>
        <v>12.981999999999999</v>
      </c>
      <c r="H62" s="10" t="s">
        <v>0</v>
      </c>
      <c r="I62" s="22">
        <f>+(G62*C62)/100</f>
        <v>0</v>
      </c>
      <c r="J62" s="18">
        <f t="shared" si="1"/>
        <v>0</v>
      </c>
      <c r="K62" s="18">
        <f t="shared" si="0"/>
        <v>0</v>
      </c>
    </row>
    <row r="63" spans="1:11" ht="14" thickBot="1">
      <c r="A63" s="29" t="s">
        <v>204</v>
      </c>
      <c r="B63" s="36"/>
      <c r="C63" s="10"/>
      <c r="D63" s="176">
        <v>3000</v>
      </c>
      <c r="E63" s="10" t="s">
        <v>1</v>
      </c>
      <c r="F63" s="21">
        <f>+D63*C63</f>
        <v>0</v>
      </c>
      <c r="G63" s="22">
        <v>14</v>
      </c>
      <c r="H63" s="10" t="s">
        <v>1</v>
      </c>
      <c r="I63" s="22">
        <f>+G63*C63</f>
        <v>0</v>
      </c>
      <c r="J63" s="18">
        <f t="shared" si="1"/>
        <v>0</v>
      </c>
      <c r="K63" s="18">
        <f t="shared" si="0"/>
        <v>0</v>
      </c>
    </row>
    <row r="64" spans="1:11" ht="14" thickBot="1">
      <c r="A64" s="31"/>
      <c r="B64" s="34" t="s">
        <v>177</v>
      </c>
      <c r="C64" s="10"/>
      <c r="D64" s="20">
        <f>(FEEDERS!$D$100*4)/10+FEEDERS!$D$19</f>
        <v>7934.2900000000009</v>
      </c>
      <c r="E64" s="10" t="s">
        <v>0</v>
      </c>
      <c r="F64" s="21">
        <f>+(D64*C64)/100</f>
        <v>0</v>
      </c>
      <c r="G64" s="22">
        <f>(FEEDERS!$G$100*4)/10+FEEDERS!$G$19</f>
        <v>33.575000000000003</v>
      </c>
      <c r="H64" s="10" t="s">
        <v>0</v>
      </c>
      <c r="I64" s="22">
        <f>+(G64*C64)/100</f>
        <v>0</v>
      </c>
      <c r="J64" s="18">
        <f t="shared" si="1"/>
        <v>0</v>
      </c>
      <c r="K64" s="18">
        <f t="shared" si="0"/>
        <v>0</v>
      </c>
    </row>
    <row r="65" spans="1:11" ht="14" thickBot="1">
      <c r="A65" s="31"/>
      <c r="B65" s="34" t="s">
        <v>176</v>
      </c>
      <c r="C65" s="10"/>
      <c r="D65" s="20">
        <f>(FEEDERS!$D$99*4)/10+FEEDERS!$D$19</f>
        <v>6673.869999999999</v>
      </c>
      <c r="E65" s="10" t="s">
        <v>0</v>
      </c>
      <c r="F65" s="21">
        <f>+(D65*C65)/100</f>
        <v>0</v>
      </c>
      <c r="G65" s="22">
        <f>(FEEDERS!$G$99*4)/10+FEEDERS!$G$19</f>
        <v>31.974999999999998</v>
      </c>
      <c r="H65" s="10" t="s">
        <v>0</v>
      </c>
      <c r="I65" s="22">
        <f>+(G65*C65)/100</f>
        <v>0</v>
      </c>
      <c r="J65" s="18">
        <f t="shared" si="1"/>
        <v>0</v>
      </c>
      <c r="K65" s="18">
        <f t="shared" si="0"/>
        <v>0</v>
      </c>
    </row>
    <row r="66" spans="1:11" ht="14" thickBot="1">
      <c r="A66" s="31"/>
      <c r="B66" s="34" t="s">
        <v>462</v>
      </c>
      <c r="C66" s="10"/>
      <c r="D66" s="20">
        <f>((FEEDERS!$D$113*4)/10+FEEDERS!$D$16)*2</f>
        <v>3145.84</v>
      </c>
      <c r="E66" s="10" t="s">
        <v>0</v>
      </c>
      <c r="F66" s="21">
        <f>+(D66*C66)/100</f>
        <v>0</v>
      </c>
      <c r="G66" s="22">
        <f>((FEEDERS!$G$113*4)/10+FEEDERS!$G$16)*2</f>
        <v>40.200000000000003</v>
      </c>
      <c r="H66" s="10" t="s">
        <v>0</v>
      </c>
      <c r="I66" s="22">
        <f>+(G66*C66)/100</f>
        <v>0</v>
      </c>
      <c r="J66" s="18">
        <f t="shared" si="1"/>
        <v>0</v>
      </c>
      <c r="K66" s="18">
        <f>IF(J66=0,0,J66/C66)</f>
        <v>0</v>
      </c>
    </row>
    <row r="67" spans="1:11" ht="14" thickBot="1">
      <c r="A67" s="31"/>
      <c r="B67" s="34" t="s">
        <v>461</v>
      </c>
      <c r="C67" s="10"/>
      <c r="D67" s="20">
        <f>(FEEDERS!$D$119*4)/10+FEEDERS!$D$19</f>
        <v>3091.8900000000003</v>
      </c>
      <c r="E67" s="10" t="s">
        <v>0</v>
      </c>
      <c r="F67" s="21">
        <f>+(D67*C67)/100</f>
        <v>0</v>
      </c>
      <c r="G67" s="22">
        <f>(FEEDERS!$G$119*4)/10+FEEDERS!$G$19</f>
        <v>31.574999999999999</v>
      </c>
      <c r="H67" s="10" t="s">
        <v>0</v>
      </c>
      <c r="I67" s="22">
        <f>+(G67*C67)/100</f>
        <v>0</v>
      </c>
      <c r="J67" s="18">
        <f t="shared" si="1"/>
        <v>0</v>
      </c>
      <c r="K67" s="18">
        <f>IF(J67=0,0,J67/C67)</f>
        <v>0</v>
      </c>
    </row>
    <row r="68" spans="1:11" ht="14" thickBot="1">
      <c r="A68" s="29" t="s">
        <v>203</v>
      </c>
      <c r="B68" s="36"/>
      <c r="C68" s="10"/>
      <c r="D68" s="176">
        <v>2300</v>
      </c>
      <c r="E68" s="10" t="s">
        <v>1</v>
      </c>
      <c r="F68" s="21">
        <f>+D68*C68</f>
        <v>0</v>
      </c>
      <c r="G68" s="22">
        <v>12</v>
      </c>
      <c r="H68" s="10" t="s">
        <v>1</v>
      </c>
      <c r="I68" s="22">
        <f>+G68*C68</f>
        <v>0</v>
      </c>
      <c r="J68" s="18">
        <f t="shared" si="1"/>
        <v>0</v>
      </c>
      <c r="K68" s="18">
        <f t="shared" si="0"/>
        <v>0</v>
      </c>
    </row>
    <row r="69" spans="1:11" ht="14" thickBot="1">
      <c r="A69" s="31"/>
      <c r="B69" s="36" t="s">
        <v>155</v>
      </c>
      <c r="C69" s="10"/>
      <c r="D69" s="20">
        <f>(FEEDERS!$D$93*4)/10+FEEDERS!$D$15</f>
        <v>2492.79</v>
      </c>
      <c r="E69" s="10" t="s">
        <v>0</v>
      </c>
      <c r="F69" s="21">
        <f>+(D69*C69)/100</f>
        <v>0</v>
      </c>
      <c r="G69" s="22">
        <f>(FEEDERS!$G$93*4)/10+FEEDERS!$G$15</f>
        <v>18.012999999999998</v>
      </c>
      <c r="H69" s="10" t="s">
        <v>0</v>
      </c>
      <c r="I69" s="22">
        <f>+(G69*C69)/100</f>
        <v>0</v>
      </c>
      <c r="J69" s="18">
        <f t="shared" si="1"/>
        <v>0</v>
      </c>
      <c r="K69" s="18">
        <f t="shared" si="0"/>
        <v>0</v>
      </c>
    </row>
    <row r="70" spans="1:11" ht="14" thickBot="1">
      <c r="A70" s="31"/>
      <c r="B70" s="36" t="s">
        <v>156</v>
      </c>
      <c r="C70" s="10"/>
      <c r="D70" s="20">
        <f>(FEEDERS!$D$113*4)/10+FEEDERS!$D$16</f>
        <v>1572.92</v>
      </c>
      <c r="E70" s="10" t="s">
        <v>0</v>
      </c>
      <c r="F70" s="21">
        <f>+(D70*C70)/100</f>
        <v>0</v>
      </c>
      <c r="G70" s="22">
        <f>(FEEDERS!$G$113*4)/10+FEEDERS!$G$16</f>
        <v>20.100000000000001</v>
      </c>
      <c r="H70" s="10" t="s">
        <v>0</v>
      </c>
      <c r="I70" s="22">
        <f>+(G70*C70)/100</f>
        <v>0</v>
      </c>
      <c r="J70" s="18">
        <f t="shared" si="1"/>
        <v>0</v>
      </c>
      <c r="K70" s="18">
        <f t="shared" si="0"/>
        <v>0</v>
      </c>
    </row>
    <row r="71" spans="1:11" ht="14" thickBot="1">
      <c r="A71" s="29" t="s">
        <v>179</v>
      </c>
      <c r="B71" s="36"/>
      <c r="C71" s="10"/>
      <c r="D71" s="176">
        <v>2000</v>
      </c>
      <c r="E71" s="10" t="s">
        <v>1</v>
      </c>
      <c r="F71" s="21">
        <f>+D71*C71</f>
        <v>0</v>
      </c>
      <c r="G71" s="22">
        <v>10</v>
      </c>
      <c r="H71" s="10" t="s">
        <v>1</v>
      </c>
      <c r="I71" s="22">
        <f>+G71*C71</f>
        <v>0</v>
      </c>
      <c r="J71" s="18">
        <f t="shared" si="1"/>
        <v>0</v>
      </c>
      <c r="K71" s="18">
        <f t="shared" si="0"/>
        <v>0</v>
      </c>
    </row>
    <row r="72" spans="1:11" ht="14" thickBot="1">
      <c r="A72" s="31"/>
      <c r="B72" s="36" t="s">
        <v>155</v>
      </c>
      <c r="C72" s="10"/>
      <c r="D72" s="20">
        <f>(FEEDERS!$D$91*4)/10+FEEDERS!$D$14</f>
        <v>1774.5</v>
      </c>
      <c r="E72" s="10" t="s">
        <v>0</v>
      </c>
      <c r="F72" s="21">
        <f>+(D72*C72)/100</f>
        <v>0</v>
      </c>
      <c r="G72" s="22">
        <f>(FEEDERS!$G$91*4)/10+FEEDERS!$G$14</f>
        <v>14.742000000000001</v>
      </c>
      <c r="H72" s="10" t="s">
        <v>0</v>
      </c>
      <c r="I72" s="22">
        <f>+(G72*C72)/100</f>
        <v>0</v>
      </c>
      <c r="J72" s="18">
        <f t="shared" si="1"/>
        <v>0</v>
      </c>
      <c r="K72" s="18">
        <f t="shared" si="0"/>
        <v>0</v>
      </c>
    </row>
    <row r="73" spans="1:11" ht="14" thickBot="1">
      <c r="A73" s="31"/>
      <c r="B73" s="36" t="s">
        <v>156</v>
      </c>
      <c r="C73" s="10"/>
      <c r="D73" s="20">
        <f>(FEEDERS!$D$111*4)/10+FEEDERS!$D$15</f>
        <v>1105.1099999999999</v>
      </c>
      <c r="E73" s="10" t="s">
        <v>0</v>
      </c>
      <c r="F73" s="21">
        <f>+(D73*C73)/100</f>
        <v>0</v>
      </c>
      <c r="G73" s="22">
        <f>(FEEDERS!$G$111*4)/10+FEEDERS!$G$15</f>
        <v>17.213000000000001</v>
      </c>
      <c r="H73" s="10" t="s">
        <v>0</v>
      </c>
      <c r="I73" s="22">
        <f>+(G73*C73)/100</f>
        <v>0</v>
      </c>
      <c r="J73" s="18">
        <f t="shared" si="1"/>
        <v>0</v>
      </c>
      <c r="K73" s="18">
        <f>IF(J73=0,0,J73/C73)</f>
        <v>0</v>
      </c>
    </row>
    <row r="74" spans="1:11" ht="14" thickBot="1">
      <c r="A74" s="29" t="s">
        <v>178</v>
      </c>
      <c r="B74" s="36"/>
      <c r="C74" s="10"/>
      <c r="D74" s="176">
        <v>2000</v>
      </c>
      <c r="E74" s="10" t="s">
        <v>1</v>
      </c>
      <c r="F74" s="21">
        <f>+D74*C74</f>
        <v>0</v>
      </c>
      <c r="G74" s="22">
        <v>10</v>
      </c>
      <c r="H74" s="10" t="s">
        <v>1</v>
      </c>
      <c r="I74" s="22">
        <f>+G74*C74</f>
        <v>0</v>
      </c>
      <c r="J74" s="18">
        <f t="shared" si="1"/>
        <v>0</v>
      </c>
      <c r="K74" s="18">
        <f>IF(J74=0,0,J74/C74)</f>
        <v>0</v>
      </c>
    </row>
    <row r="75" spans="1:11" ht="14" thickBot="1">
      <c r="A75" s="31"/>
      <c r="B75" s="36" t="s">
        <v>155</v>
      </c>
      <c r="C75" s="10"/>
      <c r="D75" s="20">
        <f>(FEEDERS!$D$90*4)/10+FEEDERS!$D$13</f>
        <v>1449.8400000000001</v>
      </c>
      <c r="E75" s="10" t="s">
        <v>0</v>
      </c>
      <c r="F75" s="21">
        <f>+(D75*C75)/100</f>
        <v>0</v>
      </c>
      <c r="G75" s="22">
        <f>(FEEDERS!$G$90*4)/10+FEEDERS!$G$13</f>
        <v>12.582000000000001</v>
      </c>
      <c r="H75" s="10" t="s">
        <v>0</v>
      </c>
      <c r="I75" s="22">
        <f>+(G75*C75)/100</f>
        <v>0</v>
      </c>
      <c r="J75" s="18">
        <f t="shared" si="1"/>
        <v>0</v>
      </c>
      <c r="K75" s="18">
        <f>IF(J75=0,0,J75/C75)</f>
        <v>0</v>
      </c>
    </row>
    <row r="76" spans="1:11" ht="14" thickBot="1">
      <c r="A76" s="31"/>
      <c r="B76" s="36" t="s">
        <v>156</v>
      </c>
      <c r="C76" s="10"/>
      <c r="D76" s="20">
        <f>(FEEDERS!$D$110*4)/10+FEEDERS!$D$14</f>
        <v>947.52</v>
      </c>
      <c r="E76" s="10" t="s">
        <v>0</v>
      </c>
      <c r="F76" s="21">
        <f>+(D76*C76)/100</f>
        <v>0</v>
      </c>
      <c r="G76" s="22">
        <f>(FEEDERS!$G$110*4)/10+FEEDERS!$G$14</f>
        <v>15.141999999999999</v>
      </c>
      <c r="H76" s="10" t="s">
        <v>0</v>
      </c>
      <c r="I76" s="22">
        <f>+(G76*C76)/100</f>
        <v>0</v>
      </c>
      <c r="J76" s="18">
        <f t="shared" si="1"/>
        <v>0</v>
      </c>
      <c r="K76" s="18">
        <f>IF(J76=0,0,J76/C76)</f>
        <v>0</v>
      </c>
    </row>
    <row r="77" spans="1:11" ht="14" thickBot="1">
      <c r="A77" s="31" t="s">
        <v>71</v>
      </c>
      <c r="B77" s="36"/>
      <c r="C77" s="10"/>
      <c r="D77" s="176">
        <v>2000</v>
      </c>
      <c r="E77" s="10" t="s">
        <v>1</v>
      </c>
      <c r="F77" s="21">
        <f>+D77*C77</f>
        <v>0</v>
      </c>
      <c r="G77" s="22">
        <v>10</v>
      </c>
      <c r="H77" s="10" t="s">
        <v>1</v>
      </c>
      <c r="I77" s="22">
        <f>+G77*C77</f>
        <v>0</v>
      </c>
      <c r="J77" s="18">
        <f t="shared" si="1"/>
        <v>0</v>
      </c>
      <c r="K77" s="18">
        <f t="shared" si="0"/>
        <v>0</v>
      </c>
    </row>
    <row r="78" spans="1:11" ht="14" thickBot="1">
      <c r="A78" s="31"/>
      <c r="B78" s="36" t="s">
        <v>155</v>
      </c>
      <c r="C78" s="10"/>
      <c r="D78" s="20">
        <f>(FEEDERS!$D$88*4)/10+FEEDERS!$D$13</f>
        <v>1181.04</v>
      </c>
      <c r="E78" s="10" t="s">
        <v>0</v>
      </c>
      <c r="F78" s="21">
        <f>+(D78*C78)/100</f>
        <v>0</v>
      </c>
      <c r="G78" s="22">
        <f>(FEEDERS!$G$88*4)/10+FEEDERS!$G$13</f>
        <v>11.782</v>
      </c>
      <c r="H78" s="10" t="s">
        <v>0</v>
      </c>
      <c r="I78" s="22">
        <f>+(G78*C78)/100</f>
        <v>0</v>
      </c>
      <c r="J78" s="18">
        <f t="shared" si="1"/>
        <v>0</v>
      </c>
      <c r="K78" s="18">
        <f t="shared" si="0"/>
        <v>0</v>
      </c>
    </row>
    <row r="79" spans="1:11" ht="14" thickBot="1">
      <c r="A79" s="31"/>
      <c r="B79" s="36" t="s">
        <v>156</v>
      </c>
      <c r="C79" s="10"/>
      <c r="D79" s="20">
        <f>(FEEDERS!$D$108*4)/10+FEEDERS!$D$13</f>
        <v>753.90000000000009</v>
      </c>
      <c r="E79" s="10" t="s">
        <v>0</v>
      </c>
      <c r="F79" s="21">
        <f>+(D79*C79)/100</f>
        <v>0</v>
      </c>
      <c r="G79" s="22">
        <f>(FEEDERS!$G$108*4)/10+FEEDERS!$G$13</f>
        <v>12.981999999999999</v>
      </c>
      <c r="H79" s="10" t="s">
        <v>0</v>
      </c>
      <c r="I79" s="22">
        <f>+(G79*C79)/100</f>
        <v>0</v>
      </c>
      <c r="J79" s="18">
        <f t="shared" si="1"/>
        <v>0</v>
      </c>
      <c r="K79" s="18">
        <f t="shared" si="0"/>
        <v>0</v>
      </c>
    </row>
    <row r="80" spans="1:11" ht="14" thickBot="1">
      <c r="A80" s="29" t="s">
        <v>505</v>
      </c>
      <c r="B80" s="36"/>
      <c r="C80" s="10"/>
      <c r="D80" s="20">
        <v>8000</v>
      </c>
      <c r="E80" s="10" t="s">
        <v>1</v>
      </c>
      <c r="F80" s="21">
        <f>+D80*C80</f>
        <v>0</v>
      </c>
      <c r="G80" s="22">
        <v>24</v>
      </c>
      <c r="H80" s="10" t="s">
        <v>1</v>
      </c>
      <c r="I80" s="22">
        <f>+G80*C80</f>
        <v>0</v>
      </c>
      <c r="J80" s="18">
        <f t="shared" ref="J80:J143" si="2">+(((I80*$I$324)+(F80*(1+$E$324)))*(1+$C$330))</f>
        <v>0</v>
      </c>
      <c r="K80" s="18">
        <f t="shared" si="0"/>
        <v>0</v>
      </c>
    </row>
    <row r="81" spans="1:11" ht="14" thickBot="1">
      <c r="A81" s="29" t="s">
        <v>501</v>
      </c>
      <c r="B81" s="36"/>
      <c r="C81" s="10"/>
      <c r="D81" s="176">
        <v>6500</v>
      </c>
      <c r="E81" s="10" t="s">
        <v>1</v>
      </c>
      <c r="F81" s="21">
        <f>+D81*C81</f>
        <v>0</v>
      </c>
      <c r="G81" s="22">
        <v>24</v>
      </c>
      <c r="H81" s="10" t="s">
        <v>1</v>
      </c>
      <c r="I81" s="22">
        <f>+G81*C81</f>
        <v>0</v>
      </c>
      <c r="J81" s="18">
        <f t="shared" si="2"/>
        <v>0</v>
      </c>
      <c r="K81" s="18">
        <f t="shared" si="0"/>
        <v>0</v>
      </c>
    </row>
    <row r="82" spans="1:11" ht="14" thickBot="1">
      <c r="A82" s="31"/>
      <c r="B82" s="34" t="s">
        <v>177</v>
      </c>
      <c r="C82" s="10"/>
      <c r="D82" s="20">
        <f>(FEEDERS!$D$100*4)/10+FEEDERS!$D$19</f>
        <v>7934.2900000000009</v>
      </c>
      <c r="E82" s="10" t="s">
        <v>0</v>
      </c>
      <c r="F82" s="21">
        <f>+(D82*C82)/100</f>
        <v>0</v>
      </c>
      <c r="G82" s="22">
        <f>(FEEDERS!$G$100*4)/10+FEEDERS!$G$19</f>
        <v>33.575000000000003</v>
      </c>
      <c r="H82" s="10" t="s">
        <v>0</v>
      </c>
      <c r="I82" s="22">
        <f>+(G82*C82)/100</f>
        <v>0</v>
      </c>
      <c r="J82" s="18">
        <f t="shared" si="2"/>
        <v>0</v>
      </c>
      <c r="K82" s="18">
        <f t="shared" si="0"/>
        <v>0</v>
      </c>
    </row>
    <row r="83" spans="1:11" ht="14" thickBot="1">
      <c r="A83" s="31"/>
      <c r="B83" s="34" t="s">
        <v>176</v>
      </c>
      <c r="C83" s="10"/>
      <c r="D83" s="20">
        <f>(FEEDERS!$D$99*4)/10+FEEDERS!$D$19</f>
        <v>6673.869999999999</v>
      </c>
      <c r="E83" s="10" t="s">
        <v>0</v>
      </c>
      <c r="F83" s="21">
        <f>+(D83*C83)/100</f>
        <v>0</v>
      </c>
      <c r="G83" s="22">
        <f>(FEEDERS!$G$99*4)/10+FEEDERS!$G$19</f>
        <v>31.974999999999998</v>
      </c>
      <c r="H83" s="10" t="s">
        <v>0</v>
      </c>
      <c r="I83" s="22">
        <f>+(G83*C83)/100</f>
        <v>0</v>
      </c>
      <c r="J83" s="18">
        <f t="shared" si="2"/>
        <v>0</v>
      </c>
      <c r="K83" s="18">
        <f t="shared" si="0"/>
        <v>0</v>
      </c>
    </row>
    <row r="84" spans="1:11" ht="14" thickBot="1">
      <c r="A84" s="31"/>
      <c r="B84" s="34" t="s">
        <v>462</v>
      </c>
      <c r="C84" s="10"/>
      <c r="D84" s="20">
        <f>((FEEDERS!$D$113*4)/10+FEEDERS!$D$16)*2</f>
        <v>3145.84</v>
      </c>
      <c r="E84" s="10" t="s">
        <v>0</v>
      </c>
      <c r="F84" s="21">
        <f>+(D84*C84)/100</f>
        <v>0</v>
      </c>
      <c r="G84" s="22">
        <f>((FEEDERS!$G$113*4)/10+FEEDERS!$G$16)*2</f>
        <v>40.200000000000003</v>
      </c>
      <c r="H84" s="10" t="s">
        <v>0</v>
      </c>
      <c r="I84" s="22">
        <f>+(G84*C84)/100</f>
        <v>0</v>
      </c>
      <c r="J84" s="18">
        <f t="shared" si="2"/>
        <v>0</v>
      </c>
      <c r="K84" s="18">
        <f>IF(J84=0,0,J84/C84)</f>
        <v>0</v>
      </c>
    </row>
    <row r="85" spans="1:11" ht="14" thickBot="1">
      <c r="A85" s="31"/>
      <c r="B85" s="34" t="s">
        <v>461</v>
      </c>
      <c r="C85" s="10"/>
      <c r="D85" s="20">
        <f>(FEEDERS!$D$119*4)/10+FEEDERS!$D$19</f>
        <v>3091.8900000000003</v>
      </c>
      <c r="E85" s="10" t="s">
        <v>0</v>
      </c>
      <c r="F85" s="21">
        <f>+(D85*C85)/100</f>
        <v>0</v>
      </c>
      <c r="G85" s="22">
        <f>(FEEDERS!$G$119*4)/10+FEEDERS!$G$19</f>
        <v>31.574999999999999</v>
      </c>
      <c r="H85" s="10" t="s">
        <v>0</v>
      </c>
      <c r="I85" s="22">
        <f>+(G85*C85)/100</f>
        <v>0</v>
      </c>
      <c r="J85" s="18">
        <f t="shared" si="2"/>
        <v>0</v>
      </c>
      <c r="K85" s="18">
        <f>IF(J85=0,0,J85/C85)</f>
        <v>0</v>
      </c>
    </row>
    <row r="86" spans="1:11" ht="14" thickBot="1">
      <c r="A86" s="29" t="s">
        <v>201</v>
      </c>
      <c r="B86" s="36"/>
      <c r="C86" s="10"/>
      <c r="D86" s="176">
        <v>5000</v>
      </c>
      <c r="E86" s="10" t="s">
        <v>1</v>
      </c>
      <c r="F86" s="21">
        <f>+D86*C86</f>
        <v>0</v>
      </c>
      <c r="G86" s="22">
        <v>15</v>
      </c>
      <c r="H86" s="10" t="s">
        <v>1</v>
      </c>
      <c r="I86" s="22">
        <f>+G86*C86</f>
        <v>0</v>
      </c>
      <c r="J86" s="18">
        <f t="shared" si="2"/>
        <v>0</v>
      </c>
      <c r="K86" s="18">
        <f t="shared" si="0"/>
        <v>0</v>
      </c>
    </row>
    <row r="87" spans="1:11" ht="14" thickBot="1">
      <c r="A87" s="31"/>
      <c r="B87" s="36" t="s">
        <v>155</v>
      </c>
      <c r="C87" s="10"/>
      <c r="D87" s="20">
        <f>(FEEDERS!$D$94*3)/10+FEEDERS!$D$16</f>
        <v>2702.09</v>
      </c>
      <c r="E87" s="10" t="s">
        <v>0</v>
      </c>
      <c r="F87" s="21">
        <f>+(D87*C87)/100</f>
        <v>0</v>
      </c>
      <c r="G87" s="22">
        <f>(FEEDERS!$G$94*3)/10+FEEDERS!$G$16</f>
        <v>17.8</v>
      </c>
      <c r="H87" s="10" t="s">
        <v>0</v>
      </c>
      <c r="I87" s="22">
        <f>+(G87*C87)/100</f>
        <v>0</v>
      </c>
      <c r="J87" s="18">
        <f t="shared" si="2"/>
        <v>0</v>
      </c>
      <c r="K87" s="18">
        <f t="shared" ref="K87:K150" si="3">IF(J87=0,0,J87/C87)</f>
        <v>0</v>
      </c>
    </row>
    <row r="88" spans="1:11" ht="14" thickBot="1">
      <c r="A88" s="31"/>
      <c r="B88" s="36" t="s">
        <v>156</v>
      </c>
      <c r="C88" s="10"/>
      <c r="D88" s="20">
        <f>(FEEDERS!$D$114*3)/10+FEEDERS!$D$16</f>
        <v>1592.9750000000001</v>
      </c>
      <c r="E88" s="10" t="s">
        <v>0</v>
      </c>
      <c r="F88" s="21">
        <f>+(D88*C88)/100</f>
        <v>0</v>
      </c>
      <c r="G88" s="22">
        <f>(FEEDERS!$G$114*3)/10+FEEDERS!$G$16</f>
        <v>18.399999999999999</v>
      </c>
      <c r="H88" s="10" t="s">
        <v>0</v>
      </c>
      <c r="I88" s="22">
        <f>+(G88*C88)/100</f>
        <v>0</v>
      </c>
      <c r="J88" s="18">
        <f t="shared" si="2"/>
        <v>0</v>
      </c>
      <c r="K88" s="18">
        <f t="shared" si="3"/>
        <v>0</v>
      </c>
    </row>
    <row r="89" spans="1:11" ht="14" thickBot="1">
      <c r="A89" s="29" t="s">
        <v>202</v>
      </c>
      <c r="B89" s="36"/>
      <c r="C89" s="10"/>
      <c r="D89" s="176">
        <v>4000</v>
      </c>
      <c r="E89" s="10" t="s">
        <v>1</v>
      </c>
      <c r="F89" s="21">
        <f>+D89*C89</f>
        <v>0</v>
      </c>
      <c r="G89" s="22">
        <v>13</v>
      </c>
      <c r="H89" s="10" t="s">
        <v>1</v>
      </c>
      <c r="I89" s="22">
        <f>+G89*C89</f>
        <v>0</v>
      </c>
      <c r="J89" s="18">
        <f t="shared" si="2"/>
        <v>0</v>
      </c>
      <c r="K89" s="18">
        <f>IF(J89=0,0,J89/C89)</f>
        <v>0</v>
      </c>
    </row>
    <row r="90" spans="1:11" ht="14" thickBot="1">
      <c r="A90" s="31"/>
      <c r="B90" s="36" t="s">
        <v>155</v>
      </c>
      <c r="C90" s="10"/>
      <c r="D90" s="20">
        <f>(FEEDERS!$D$91*3)/10+FEEDERS!$D$14</f>
        <v>1486.2750000000001</v>
      </c>
      <c r="E90" s="10" t="s">
        <v>0</v>
      </c>
      <c r="F90" s="21">
        <f>+(D90*C90)/100</f>
        <v>0</v>
      </c>
      <c r="G90" s="22">
        <f>(FEEDERS!$G$91*3)/10+FEEDERS!$G$14</f>
        <v>13.442</v>
      </c>
      <c r="H90" s="10" t="s">
        <v>0</v>
      </c>
      <c r="I90" s="22">
        <f>+(G90*C90)/100</f>
        <v>0</v>
      </c>
      <c r="J90" s="18">
        <f t="shared" si="2"/>
        <v>0</v>
      </c>
      <c r="K90" s="18">
        <f>IF(J90=0,0,J90/C90)</f>
        <v>0</v>
      </c>
    </row>
    <row r="91" spans="1:11" ht="14" thickBot="1">
      <c r="A91" s="31"/>
      <c r="B91" s="36" t="s">
        <v>156</v>
      </c>
      <c r="C91" s="10"/>
      <c r="D91" s="20">
        <f>(FEEDERS!$D$111*3)/10+FEEDERS!$D$15</f>
        <v>1003.9949999999999</v>
      </c>
      <c r="E91" s="10" t="s">
        <v>0</v>
      </c>
      <c r="F91" s="21">
        <f>+(D91*C91)/100</f>
        <v>0</v>
      </c>
      <c r="G91" s="22">
        <f>(FEEDERS!$G$111*3)/10+FEEDERS!$G$15</f>
        <v>15.712999999999999</v>
      </c>
      <c r="H91" s="10" t="s">
        <v>0</v>
      </c>
      <c r="I91" s="22">
        <f>+(G91*C91)/100</f>
        <v>0</v>
      </c>
      <c r="J91" s="18">
        <f t="shared" si="2"/>
        <v>0</v>
      </c>
      <c r="K91" s="18">
        <f>IF(J91=0,0,J91/C91)</f>
        <v>0</v>
      </c>
    </row>
    <row r="92" spans="1:11" ht="14" thickBot="1">
      <c r="A92" s="29" t="s">
        <v>200</v>
      </c>
      <c r="B92" s="36"/>
      <c r="C92" s="10"/>
      <c r="D92" s="176">
        <v>3500</v>
      </c>
      <c r="E92" s="10" t="s">
        <v>1</v>
      </c>
      <c r="F92" s="21">
        <f>+D92*C92</f>
        <v>0</v>
      </c>
      <c r="G92" s="22">
        <v>13</v>
      </c>
      <c r="H92" s="10" t="s">
        <v>1</v>
      </c>
      <c r="I92" s="22">
        <f>+G92*C92</f>
        <v>0</v>
      </c>
      <c r="J92" s="18">
        <f t="shared" si="2"/>
        <v>0</v>
      </c>
      <c r="K92" s="18">
        <f t="shared" si="3"/>
        <v>0</v>
      </c>
    </row>
    <row r="93" spans="1:11" ht="14" thickBot="1">
      <c r="A93" s="31"/>
      <c r="B93" s="36" t="s">
        <v>155</v>
      </c>
      <c r="C93" s="10"/>
      <c r="D93" s="20">
        <f>(FEEDERS!$D$90*3)/10+FEEDERS!$D$13</f>
        <v>1214.4299999999998</v>
      </c>
      <c r="E93" s="10" t="s">
        <v>0</v>
      </c>
      <c r="F93" s="21">
        <f>+(D93*C93)/100</f>
        <v>0</v>
      </c>
      <c r="G93" s="22">
        <f>(FEEDERS!$G$90*3)/10+FEEDERS!$G$13</f>
        <v>11.481999999999999</v>
      </c>
      <c r="H93" s="10" t="s">
        <v>0</v>
      </c>
      <c r="I93" s="22">
        <f>+(G93*C93)/100</f>
        <v>0</v>
      </c>
      <c r="J93" s="18">
        <f t="shared" si="2"/>
        <v>0</v>
      </c>
      <c r="K93" s="18">
        <f t="shared" si="3"/>
        <v>0</v>
      </c>
    </row>
    <row r="94" spans="1:11" ht="14" thickBot="1">
      <c r="A94" s="31"/>
      <c r="B94" s="36" t="s">
        <v>156</v>
      </c>
      <c r="C94" s="10"/>
      <c r="D94" s="20">
        <f>(FEEDERS!$D$110*3)/10+FEEDERS!$D$14</f>
        <v>866.04</v>
      </c>
      <c r="E94" s="10" t="s">
        <v>0</v>
      </c>
      <c r="F94" s="21">
        <f>+(D94*C94)/100</f>
        <v>0</v>
      </c>
      <c r="G94" s="22">
        <f>(FEEDERS!$G$110*3)/10+FEEDERS!$G$14</f>
        <v>13.742000000000001</v>
      </c>
      <c r="H94" s="10" t="s">
        <v>0</v>
      </c>
      <c r="I94" s="22">
        <f>+(G94*C94)/100</f>
        <v>0</v>
      </c>
      <c r="J94" s="18">
        <f t="shared" si="2"/>
        <v>0</v>
      </c>
      <c r="K94" s="18">
        <f t="shared" si="3"/>
        <v>0</v>
      </c>
    </row>
    <row r="95" spans="1:11" ht="14" thickBot="1">
      <c r="A95" s="31" t="s">
        <v>74</v>
      </c>
      <c r="B95" s="36"/>
      <c r="C95" s="10"/>
      <c r="D95" s="176">
        <v>2500</v>
      </c>
      <c r="E95" s="10" t="s">
        <v>1</v>
      </c>
      <c r="F95" s="21">
        <f>+D95*C95</f>
        <v>0</v>
      </c>
      <c r="G95" s="22">
        <v>12</v>
      </c>
      <c r="H95" s="10" t="s">
        <v>1</v>
      </c>
      <c r="I95" s="22">
        <f>+G95*C95</f>
        <v>0</v>
      </c>
      <c r="J95" s="18">
        <f t="shared" si="2"/>
        <v>0</v>
      </c>
      <c r="K95" s="18">
        <f t="shared" si="3"/>
        <v>0</v>
      </c>
    </row>
    <row r="96" spans="1:11" ht="14" thickBot="1">
      <c r="A96" s="31"/>
      <c r="B96" s="36" t="s">
        <v>155</v>
      </c>
      <c r="C96" s="10"/>
      <c r="D96" s="20">
        <f>(FEEDERS!$D$87*3)/10+FEEDERS!$D$12</f>
        <v>731.3</v>
      </c>
      <c r="E96" s="10" t="s">
        <v>0</v>
      </c>
      <c r="F96" s="21">
        <f>+(D96*C96)/100</f>
        <v>0</v>
      </c>
      <c r="G96" s="22">
        <f>(FEEDERS!$G$87*3)/10+FEEDERS!$G$12</f>
        <v>9.4879999999999995</v>
      </c>
      <c r="H96" s="10" t="s">
        <v>0</v>
      </c>
      <c r="I96" s="22">
        <f>+(G96*C96)/100</f>
        <v>0</v>
      </c>
      <c r="J96" s="18">
        <f t="shared" si="2"/>
        <v>0</v>
      </c>
      <c r="K96" s="18">
        <f t="shared" si="3"/>
        <v>0</v>
      </c>
    </row>
    <row r="97" spans="1:11" ht="14" thickBot="1">
      <c r="A97" s="31"/>
      <c r="B97" s="36" t="s">
        <v>156</v>
      </c>
      <c r="C97" s="10"/>
      <c r="D97" s="20">
        <v>250</v>
      </c>
      <c r="E97" s="10" t="s">
        <v>0</v>
      </c>
      <c r="F97" s="21">
        <f>+(D97*C97)/100</f>
        <v>0</v>
      </c>
      <c r="G97" s="22">
        <v>9</v>
      </c>
      <c r="H97" s="10" t="s">
        <v>0</v>
      </c>
      <c r="I97" s="22">
        <f>+(G97*C97)/100</f>
        <v>0</v>
      </c>
      <c r="J97" s="18">
        <f t="shared" si="2"/>
        <v>0</v>
      </c>
      <c r="K97" s="18">
        <f t="shared" si="3"/>
        <v>0</v>
      </c>
    </row>
    <row r="98" spans="1:11" ht="14" thickBot="1">
      <c r="A98" s="31" t="s">
        <v>75</v>
      </c>
      <c r="C98" s="10"/>
      <c r="D98" s="176">
        <v>2000</v>
      </c>
      <c r="E98" s="10" t="s">
        <v>1</v>
      </c>
      <c r="F98" s="21">
        <f>+D98*C98</f>
        <v>0</v>
      </c>
      <c r="G98" s="22">
        <v>10</v>
      </c>
      <c r="H98" s="10" t="s">
        <v>1</v>
      </c>
      <c r="I98" s="22">
        <f>+G98*C98</f>
        <v>0</v>
      </c>
      <c r="J98" s="18">
        <f t="shared" si="2"/>
        <v>0</v>
      </c>
      <c r="K98" s="18">
        <f t="shared" si="3"/>
        <v>0</v>
      </c>
    </row>
    <row r="99" spans="1:11" ht="14" thickBot="1">
      <c r="A99" s="31"/>
      <c r="B99" s="36" t="s">
        <v>155</v>
      </c>
      <c r="C99" s="10"/>
      <c r="D99" s="20">
        <f>(FEEDERS!$D$86*3)/10+FEEDERS!$D$11</f>
        <v>458.04999999999995</v>
      </c>
      <c r="E99" s="10" t="s">
        <v>0</v>
      </c>
      <c r="F99" s="21">
        <f>+(D99*C99)/100</f>
        <v>0</v>
      </c>
      <c r="G99" s="22">
        <f>(FEEDERS!$G$86*3)/10+FEEDERS!$G$11</f>
        <v>7.0600000000000005</v>
      </c>
      <c r="H99" s="10" t="s">
        <v>0</v>
      </c>
      <c r="I99" s="22">
        <f>+(G99*C99)/100</f>
        <v>0</v>
      </c>
      <c r="J99" s="18">
        <f t="shared" si="2"/>
        <v>0</v>
      </c>
      <c r="K99" s="18">
        <f t="shared" si="3"/>
        <v>0</v>
      </c>
    </row>
    <row r="100" spans="1:11" ht="14" thickBot="1">
      <c r="A100" s="31"/>
      <c r="B100" s="36" t="s">
        <v>156</v>
      </c>
      <c r="C100" s="10"/>
      <c r="D100" s="20">
        <v>150</v>
      </c>
      <c r="E100" s="10" t="s">
        <v>0</v>
      </c>
      <c r="F100" s="21">
        <f>+(D100*C100)/100</f>
        <v>0</v>
      </c>
      <c r="G100" s="22">
        <v>6</v>
      </c>
      <c r="H100" s="10" t="s">
        <v>0</v>
      </c>
      <c r="I100" s="22">
        <f>+(G100*C100)/100</f>
        <v>0</v>
      </c>
      <c r="J100" s="18">
        <f t="shared" si="2"/>
        <v>0</v>
      </c>
      <c r="K100" s="18">
        <f t="shared" si="3"/>
        <v>0</v>
      </c>
    </row>
    <row r="101" spans="1:11" ht="14" thickBot="1">
      <c r="A101" s="31" t="s">
        <v>90</v>
      </c>
      <c r="B101" s="36"/>
      <c r="C101" s="10"/>
      <c r="D101" s="176">
        <v>1500</v>
      </c>
      <c r="E101" s="10" t="s">
        <v>1</v>
      </c>
      <c r="F101" s="21">
        <f>+D101*C101</f>
        <v>0</v>
      </c>
      <c r="G101" s="22">
        <v>5</v>
      </c>
      <c r="H101" s="10" t="s">
        <v>1</v>
      </c>
      <c r="I101" s="22">
        <f>+G101*C101</f>
        <v>0</v>
      </c>
      <c r="J101" s="18">
        <f t="shared" si="2"/>
        <v>0</v>
      </c>
      <c r="K101" s="18">
        <f t="shared" si="3"/>
        <v>0</v>
      </c>
    </row>
    <row r="102" spans="1:11" ht="14" thickBot="1">
      <c r="A102" s="31"/>
      <c r="B102" s="36" t="s">
        <v>155</v>
      </c>
      <c r="C102" s="10"/>
      <c r="D102" s="20">
        <f>(FEEDERS!$D$84*3)/10+FEEDERS!$D$11</f>
        <v>283.51</v>
      </c>
      <c r="E102" s="10" t="s">
        <v>0</v>
      </c>
      <c r="F102" s="21">
        <f>+(D102*C102)/100</f>
        <v>0</v>
      </c>
      <c r="G102" s="22">
        <f>(FEEDERS!$G$84*3)/10+FEEDERS!$G$11</f>
        <v>6.76</v>
      </c>
      <c r="H102" s="10" t="s">
        <v>0</v>
      </c>
      <c r="I102" s="22">
        <f>+(G102*C102)/100</f>
        <v>0</v>
      </c>
      <c r="J102" s="18">
        <f t="shared" si="2"/>
        <v>0</v>
      </c>
      <c r="K102" s="18">
        <f t="shared" si="3"/>
        <v>0</v>
      </c>
    </row>
    <row r="103" spans="1:11" ht="14" thickBot="1">
      <c r="A103" s="29" t="s">
        <v>481</v>
      </c>
      <c r="B103" s="34"/>
      <c r="C103" s="10"/>
      <c r="D103" s="20">
        <v>100</v>
      </c>
      <c r="E103" s="10" t="s">
        <v>0</v>
      </c>
      <c r="F103" s="21">
        <f>+(D103*C103)/100</f>
        <v>0</v>
      </c>
      <c r="G103" s="22">
        <v>70</v>
      </c>
      <c r="H103" s="10" t="s">
        <v>0</v>
      </c>
      <c r="I103" s="22">
        <f>+(G103*C103)/100</f>
        <v>0</v>
      </c>
      <c r="J103" s="18">
        <f t="shared" si="2"/>
        <v>0</v>
      </c>
      <c r="K103" s="18">
        <f t="shared" si="3"/>
        <v>0</v>
      </c>
    </row>
    <row r="104" spans="1:11" ht="14" thickBot="1">
      <c r="A104" s="29" t="s">
        <v>483</v>
      </c>
      <c r="B104" s="34"/>
      <c r="C104" s="10"/>
      <c r="D104" s="20">
        <v>100</v>
      </c>
      <c r="E104" s="10" t="s">
        <v>1</v>
      </c>
      <c r="F104" s="21">
        <f>+D104*C104</f>
        <v>0</v>
      </c>
      <c r="G104" s="22">
        <v>1</v>
      </c>
      <c r="H104" s="10" t="s">
        <v>1</v>
      </c>
      <c r="I104" s="22">
        <f>+G104*C104</f>
        <v>0</v>
      </c>
      <c r="J104" s="18">
        <f t="shared" si="2"/>
        <v>0</v>
      </c>
      <c r="K104" s="18">
        <f t="shared" si="3"/>
        <v>0</v>
      </c>
    </row>
    <row r="105" spans="1:11" ht="14" thickBot="1">
      <c r="A105" s="29" t="s">
        <v>484</v>
      </c>
      <c r="B105" s="34"/>
      <c r="C105" s="10"/>
      <c r="D105" s="20">
        <v>50</v>
      </c>
      <c r="E105" s="10" t="s">
        <v>1</v>
      </c>
      <c r="F105" s="21">
        <f>+D105*C105</f>
        <v>0</v>
      </c>
      <c r="G105" s="22">
        <v>2.5</v>
      </c>
      <c r="H105" s="10" t="s">
        <v>1</v>
      </c>
      <c r="I105" s="22">
        <f>+G105*C105</f>
        <v>0</v>
      </c>
      <c r="J105" s="18">
        <f t="shared" si="2"/>
        <v>0</v>
      </c>
      <c r="K105" s="18">
        <f t="shared" si="3"/>
        <v>0</v>
      </c>
    </row>
    <row r="106" spans="1:11" ht="14" thickBot="1">
      <c r="A106" s="29" t="s">
        <v>482</v>
      </c>
      <c r="B106" s="34"/>
      <c r="C106" s="10"/>
      <c r="D106" s="20">
        <v>300</v>
      </c>
      <c r="E106" s="10" t="s">
        <v>1</v>
      </c>
      <c r="F106" s="21">
        <f>+D106*C106</f>
        <v>0</v>
      </c>
      <c r="G106" s="22">
        <v>24</v>
      </c>
      <c r="H106" s="10" t="s">
        <v>1</v>
      </c>
      <c r="I106" s="22">
        <f>+G106*C106</f>
        <v>0</v>
      </c>
      <c r="J106" s="18">
        <f t="shared" si="2"/>
        <v>0</v>
      </c>
      <c r="K106" s="18">
        <f>IF(J106=0,0,J106/C106)</f>
        <v>0</v>
      </c>
    </row>
    <row r="107" spans="1:11" ht="14" thickBot="1">
      <c r="A107" s="29"/>
      <c r="B107" s="36" t="s">
        <v>155</v>
      </c>
      <c r="C107" s="10"/>
      <c r="D107" s="20">
        <f>((FEEDERS!$D$99*4)/10+FEEDERS!$D$19)*8</f>
        <v>53390.959999999992</v>
      </c>
      <c r="E107" s="10" t="s">
        <v>0</v>
      </c>
      <c r="F107" s="21">
        <f>+(D107*C107)/100</f>
        <v>0</v>
      </c>
      <c r="G107" s="22">
        <f>((FEEDERS!$G$99*4)/10+FEEDERS!$G$19)*8</f>
        <v>255.79999999999998</v>
      </c>
      <c r="H107" s="10" t="s">
        <v>0</v>
      </c>
      <c r="I107" s="22">
        <f>+(G107*C107)/100</f>
        <v>0</v>
      </c>
      <c r="J107" s="18">
        <f t="shared" si="2"/>
        <v>0</v>
      </c>
      <c r="K107" s="18">
        <f>IF(J107=0,0,J107/C107)</f>
        <v>0</v>
      </c>
    </row>
    <row r="108" spans="1:11" ht="14" thickBot="1">
      <c r="A108" s="29"/>
      <c r="B108" s="36" t="s">
        <v>156</v>
      </c>
      <c r="C108" s="10"/>
      <c r="D108" s="20">
        <f>((FEEDERS!$D$119*4)/10+FEEDERS!$D$19)*8</f>
        <v>24735.120000000003</v>
      </c>
      <c r="E108" s="10" t="s">
        <v>0</v>
      </c>
      <c r="F108" s="21">
        <f>+(D108*C108)/100</f>
        <v>0</v>
      </c>
      <c r="G108" s="22">
        <f>((FEEDERS!$G$119*4)/10+FEEDERS!$G$19)*8</f>
        <v>252.6</v>
      </c>
      <c r="H108" s="10" t="s">
        <v>0</v>
      </c>
      <c r="I108" s="22">
        <f>+(G108*C108)/100</f>
        <v>0</v>
      </c>
      <c r="J108" s="18">
        <f t="shared" si="2"/>
        <v>0</v>
      </c>
      <c r="K108" s="18">
        <f>IF(J108=0,0,J108/C108)</f>
        <v>0</v>
      </c>
    </row>
    <row r="109" spans="1:11" ht="14" thickBot="1">
      <c r="A109" s="29" t="s">
        <v>485</v>
      </c>
      <c r="B109" s="34"/>
      <c r="C109" s="10"/>
      <c r="D109" s="20">
        <v>50</v>
      </c>
      <c r="E109" s="10" t="s">
        <v>1</v>
      </c>
      <c r="F109" s="21">
        <f>+D109*C109</f>
        <v>0</v>
      </c>
      <c r="G109" s="22">
        <v>2</v>
      </c>
      <c r="H109" s="10" t="s">
        <v>1</v>
      </c>
      <c r="I109" s="22">
        <f>+G109*C109</f>
        <v>0</v>
      </c>
      <c r="J109" s="18">
        <f t="shared" si="2"/>
        <v>0</v>
      </c>
      <c r="K109" s="18">
        <f t="shared" si="3"/>
        <v>0</v>
      </c>
    </row>
    <row r="110" spans="1:11" ht="14" thickBot="1">
      <c r="A110" s="29" t="s">
        <v>473</v>
      </c>
      <c r="B110" s="34"/>
      <c r="C110" s="10"/>
      <c r="D110" s="20">
        <v>100</v>
      </c>
      <c r="E110" s="10" t="s">
        <v>0</v>
      </c>
      <c r="F110" s="21">
        <f>+(D110*C110)/100</f>
        <v>0</v>
      </c>
      <c r="G110" s="22">
        <v>70</v>
      </c>
      <c r="H110" s="10" t="s">
        <v>0</v>
      </c>
      <c r="I110" s="22">
        <f>+(G110*C110)/100</f>
        <v>0</v>
      </c>
      <c r="J110" s="18">
        <f t="shared" si="2"/>
        <v>0</v>
      </c>
      <c r="K110" s="18">
        <f t="shared" si="3"/>
        <v>0</v>
      </c>
    </row>
    <row r="111" spans="1:11" ht="14" thickBot="1">
      <c r="A111" s="29" t="s">
        <v>474</v>
      </c>
      <c r="B111" s="34"/>
      <c r="C111" s="10"/>
      <c r="D111" s="20">
        <v>300</v>
      </c>
      <c r="E111" s="10" t="s">
        <v>1</v>
      </c>
      <c r="F111" s="21">
        <f>+D111*C111</f>
        <v>0</v>
      </c>
      <c r="G111" s="22">
        <v>24</v>
      </c>
      <c r="H111" s="10" t="s">
        <v>1</v>
      </c>
      <c r="I111" s="22">
        <f>+G111*C111</f>
        <v>0</v>
      </c>
      <c r="J111" s="18">
        <f t="shared" si="2"/>
        <v>0</v>
      </c>
      <c r="K111" s="18">
        <f t="shared" si="3"/>
        <v>0</v>
      </c>
    </row>
    <row r="112" spans="1:11" ht="14" thickBot="1">
      <c r="A112" s="29"/>
      <c r="B112" s="36" t="s">
        <v>155</v>
      </c>
      <c r="C112" s="10"/>
      <c r="D112" s="20">
        <f>((FEEDERS!$D$100*4)/10+FEEDERS!$D$19)*5</f>
        <v>39671.450000000004</v>
      </c>
      <c r="E112" s="10" t="s">
        <v>0</v>
      </c>
      <c r="F112" s="21">
        <f>+(D112*C112)/100</f>
        <v>0</v>
      </c>
      <c r="G112" s="22">
        <f>((FEEDERS!$G$100*4)/10+FEEDERS!$G$19)*5</f>
        <v>167.875</v>
      </c>
      <c r="H112" s="10" t="s">
        <v>0</v>
      </c>
      <c r="I112" s="22">
        <f>+(G112*C112)/100</f>
        <v>0</v>
      </c>
      <c r="J112" s="18">
        <f t="shared" si="2"/>
        <v>0</v>
      </c>
      <c r="K112" s="18">
        <f t="shared" si="3"/>
        <v>0</v>
      </c>
    </row>
    <row r="113" spans="1:11" ht="14" thickBot="1">
      <c r="A113" s="29"/>
      <c r="B113" s="36" t="s">
        <v>156</v>
      </c>
      <c r="C113" s="10"/>
      <c r="D113" s="20">
        <f>((FEEDERS!$D$118*4)/10+FEEDERS!$D$19)*6</f>
        <v>16876.86</v>
      </c>
      <c r="E113" s="10" t="s">
        <v>0</v>
      </c>
      <c r="F113" s="21">
        <f>+(D113*C113)/100</f>
        <v>0</v>
      </c>
      <c r="G113" s="22">
        <f>((FEEDERS!$G$118*4)/10+FEEDERS!$G$19)*6</f>
        <v>182.25</v>
      </c>
      <c r="H113" s="10" t="s">
        <v>0</v>
      </c>
      <c r="I113" s="22">
        <f>+(G113*C113)/100</f>
        <v>0</v>
      </c>
      <c r="J113" s="18">
        <f t="shared" si="2"/>
        <v>0</v>
      </c>
      <c r="K113" s="18">
        <f t="shared" si="3"/>
        <v>0</v>
      </c>
    </row>
    <row r="114" spans="1:11" ht="14" thickBot="1">
      <c r="A114" s="29" t="s">
        <v>475</v>
      </c>
      <c r="B114" s="34"/>
      <c r="C114" s="10"/>
      <c r="D114" s="20">
        <v>100</v>
      </c>
      <c r="E114" s="10" t="s">
        <v>1</v>
      </c>
      <c r="F114" s="21">
        <f>+D114*C114</f>
        <v>0</v>
      </c>
      <c r="G114" s="22">
        <v>1</v>
      </c>
      <c r="H114" s="10" t="s">
        <v>1</v>
      </c>
      <c r="I114" s="22">
        <f>+G114*C114</f>
        <v>0</v>
      </c>
      <c r="J114" s="18">
        <f t="shared" si="2"/>
        <v>0</v>
      </c>
      <c r="K114" s="18">
        <f t="shared" si="3"/>
        <v>0</v>
      </c>
    </row>
    <row r="115" spans="1:11" ht="14" thickBot="1">
      <c r="A115" s="29" t="s">
        <v>476</v>
      </c>
      <c r="B115" s="34"/>
      <c r="C115" s="10"/>
      <c r="D115" s="20">
        <v>50</v>
      </c>
      <c r="E115" s="10" t="s">
        <v>1</v>
      </c>
      <c r="F115" s="21">
        <f>+D115*C115</f>
        <v>0</v>
      </c>
      <c r="G115" s="22">
        <v>2.5</v>
      </c>
      <c r="H115" s="10" t="s">
        <v>1</v>
      </c>
      <c r="I115" s="22">
        <f>+G115*C115</f>
        <v>0</v>
      </c>
      <c r="J115" s="18">
        <f t="shared" si="2"/>
        <v>0</v>
      </c>
      <c r="K115" s="18">
        <f t="shared" si="3"/>
        <v>0</v>
      </c>
    </row>
    <row r="116" spans="1:11" ht="14" thickBot="1">
      <c r="A116" s="29" t="s">
        <v>477</v>
      </c>
      <c r="B116" s="34"/>
      <c r="C116" s="10"/>
      <c r="D116" s="20">
        <v>50</v>
      </c>
      <c r="E116" s="10" t="s">
        <v>1</v>
      </c>
      <c r="F116" s="21">
        <f>+D116*C116</f>
        <v>0</v>
      </c>
      <c r="G116" s="22">
        <v>2</v>
      </c>
      <c r="H116" s="10" t="s">
        <v>1</v>
      </c>
      <c r="I116" s="22">
        <f>+G116*C116</f>
        <v>0</v>
      </c>
      <c r="J116" s="18">
        <f t="shared" si="2"/>
        <v>0</v>
      </c>
      <c r="K116" s="18">
        <f t="shared" si="3"/>
        <v>0</v>
      </c>
    </row>
    <row r="117" spans="1:11" ht="14" thickBot="1">
      <c r="A117" s="29" t="s">
        <v>486</v>
      </c>
      <c r="B117" s="34"/>
      <c r="C117" s="10"/>
      <c r="D117" s="20">
        <v>100</v>
      </c>
      <c r="E117" s="10" t="s">
        <v>0</v>
      </c>
      <c r="F117" s="21">
        <f>+(D117*C117)/100</f>
        <v>0</v>
      </c>
      <c r="G117" s="22">
        <v>35</v>
      </c>
      <c r="H117" s="10" t="s">
        <v>0</v>
      </c>
      <c r="I117" s="22">
        <f>+(G117*C117)/100</f>
        <v>0</v>
      </c>
      <c r="J117" s="18">
        <f t="shared" si="2"/>
        <v>0</v>
      </c>
      <c r="K117" s="18">
        <f t="shared" si="3"/>
        <v>0</v>
      </c>
    </row>
    <row r="118" spans="1:11" ht="14" thickBot="1">
      <c r="A118" s="29" t="s">
        <v>487</v>
      </c>
      <c r="B118" s="34"/>
      <c r="C118" s="10"/>
      <c r="D118" s="20">
        <v>300</v>
      </c>
      <c r="E118" s="10" t="s">
        <v>1</v>
      </c>
      <c r="F118" s="21">
        <f>+D118*C118</f>
        <v>0</v>
      </c>
      <c r="G118" s="22">
        <v>16</v>
      </c>
      <c r="H118" s="10" t="s">
        <v>1</v>
      </c>
      <c r="I118" s="22">
        <f>+G118*C118</f>
        <v>0</v>
      </c>
      <c r="J118" s="18">
        <f t="shared" si="2"/>
        <v>0</v>
      </c>
      <c r="K118" s="18">
        <f t="shared" si="3"/>
        <v>0</v>
      </c>
    </row>
    <row r="119" spans="1:11" ht="14" thickBot="1">
      <c r="A119" s="29"/>
      <c r="B119" s="36" t="s">
        <v>155</v>
      </c>
      <c r="C119" s="10"/>
      <c r="D119" s="20">
        <f>((FEEDERS!$D$100*4)/10+FEEDERS!$D$19)*4</f>
        <v>31737.160000000003</v>
      </c>
      <c r="E119" s="10" t="s">
        <v>0</v>
      </c>
      <c r="F119" s="21">
        <f>+(D119*C119)/100</f>
        <v>0</v>
      </c>
      <c r="G119" s="22">
        <f>((FEEDERS!$G$100*4)/10+FEEDERS!$G$19)*4</f>
        <v>134.30000000000001</v>
      </c>
      <c r="H119" s="10" t="s">
        <v>0</v>
      </c>
      <c r="I119" s="22">
        <f>+(G119*C119)/100</f>
        <v>0</v>
      </c>
      <c r="J119" s="18">
        <f t="shared" si="2"/>
        <v>0</v>
      </c>
      <c r="K119" s="18">
        <f t="shared" si="3"/>
        <v>0</v>
      </c>
    </row>
    <row r="120" spans="1:11" ht="14" thickBot="1">
      <c r="A120" s="29"/>
      <c r="B120" s="36" t="s">
        <v>156</v>
      </c>
      <c r="C120" s="10"/>
      <c r="D120" s="20">
        <f>((FEEDERS!$D$118*4)/10+FEEDERS!$D$19)*5</f>
        <v>14064.050000000003</v>
      </c>
      <c r="E120" s="10" t="s">
        <v>0</v>
      </c>
      <c r="F120" s="21">
        <f>+(D120*C120)/100</f>
        <v>0</v>
      </c>
      <c r="G120" s="22">
        <f>((FEEDERS!$G$118*4)/10+FEEDERS!$G$19)*5</f>
        <v>151.875</v>
      </c>
      <c r="H120" s="10" t="s">
        <v>0</v>
      </c>
      <c r="I120" s="22">
        <f>+(G120*C120)/100</f>
        <v>0</v>
      </c>
      <c r="J120" s="18">
        <f t="shared" si="2"/>
        <v>0</v>
      </c>
      <c r="K120" s="18">
        <f t="shared" si="3"/>
        <v>0</v>
      </c>
    </row>
    <row r="121" spans="1:11" ht="14" thickBot="1">
      <c r="A121" s="29" t="s">
        <v>488</v>
      </c>
      <c r="B121" s="34"/>
      <c r="C121" s="10"/>
      <c r="D121" s="20">
        <v>100</v>
      </c>
      <c r="E121" s="10" t="s">
        <v>1</v>
      </c>
      <c r="F121" s="21">
        <f>+D121*C121</f>
        <v>0</v>
      </c>
      <c r="G121" s="22">
        <v>0.5</v>
      </c>
      <c r="H121" s="10" t="s">
        <v>1</v>
      </c>
      <c r="I121" s="22">
        <f>+G121*C121</f>
        <v>0</v>
      </c>
      <c r="J121" s="18">
        <f t="shared" si="2"/>
        <v>0</v>
      </c>
      <c r="K121" s="18">
        <f t="shared" si="3"/>
        <v>0</v>
      </c>
    </row>
    <row r="122" spans="1:11" ht="14" thickBot="1">
      <c r="A122" s="29" t="s">
        <v>489</v>
      </c>
      <c r="B122" s="34"/>
      <c r="C122" s="10"/>
      <c r="D122" s="20">
        <v>50</v>
      </c>
      <c r="E122" s="10" t="s">
        <v>1</v>
      </c>
      <c r="F122" s="21">
        <f>+D122*C122</f>
        <v>0</v>
      </c>
      <c r="G122" s="22">
        <v>1.5</v>
      </c>
      <c r="H122" s="10" t="s">
        <v>1</v>
      </c>
      <c r="I122" s="22">
        <f>+G122*C122</f>
        <v>0</v>
      </c>
      <c r="J122" s="18">
        <f t="shared" si="2"/>
        <v>0</v>
      </c>
      <c r="K122" s="18">
        <f t="shared" si="3"/>
        <v>0</v>
      </c>
    </row>
    <row r="123" spans="1:11" ht="14" thickBot="1">
      <c r="A123" s="29" t="s">
        <v>490</v>
      </c>
      <c r="B123" s="34"/>
      <c r="C123" s="10"/>
      <c r="D123" s="20">
        <v>50</v>
      </c>
      <c r="E123" s="10" t="s">
        <v>1</v>
      </c>
      <c r="F123" s="21">
        <f>+D123*C123</f>
        <v>0</v>
      </c>
      <c r="G123" s="22">
        <v>1</v>
      </c>
      <c r="H123" s="10" t="s">
        <v>1</v>
      </c>
      <c r="I123" s="22">
        <f>+G123*C123</f>
        <v>0</v>
      </c>
      <c r="J123" s="18">
        <f t="shared" si="2"/>
        <v>0</v>
      </c>
      <c r="K123" s="18">
        <f t="shared" si="3"/>
        <v>0</v>
      </c>
    </row>
    <row r="124" spans="1:11" ht="14" thickBot="1">
      <c r="A124" s="29" t="s">
        <v>491</v>
      </c>
      <c r="B124" s="34"/>
      <c r="C124" s="10"/>
      <c r="D124" s="20">
        <v>100</v>
      </c>
      <c r="E124" s="10" t="s">
        <v>0</v>
      </c>
      <c r="F124" s="21">
        <f>+(D124*C124)/100</f>
        <v>0</v>
      </c>
      <c r="G124" s="22">
        <v>35</v>
      </c>
      <c r="H124" s="10" t="s">
        <v>0</v>
      </c>
      <c r="I124" s="22">
        <f>+(G124*C124)/100</f>
        <v>0</v>
      </c>
      <c r="J124" s="18">
        <f t="shared" si="2"/>
        <v>0</v>
      </c>
      <c r="K124" s="18">
        <f t="shared" si="3"/>
        <v>0</v>
      </c>
    </row>
    <row r="125" spans="1:11" ht="14" thickBot="1">
      <c r="A125" s="29" t="s">
        <v>492</v>
      </c>
      <c r="B125" s="34"/>
      <c r="C125" s="10"/>
      <c r="D125" s="20">
        <v>300</v>
      </c>
      <c r="E125" s="10" t="s">
        <v>1</v>
      </c>
      <c r="F125" s="21">
        <f>+D125*C125</f>
        <v>0</v>
      </c>
      <c r="G125" s="22">
        <v>16</v>
      </c>
      <c r="H125" s="10" t="s">
        <v>1</v>
      </c>
      <c r="I125" s="22">
        <f>+G125*C125</f>
        <v>0</v>
      </c>
      <c r="J125" s="18">
        <f t="shared" si="2"/>
        <v>0</v>
      </c>
      <c r="K125" s="18">
        <f t="shared" si="3"/>
        <v>0</v>
      </c>
    </row>
    <row r="126" spans="1:11" ht="14" thickBot="1">
      <c r="A126" s="29"/>
      <c r="B126" s="34" t="s">
        <v>177</v>
      </c>
      <c r="C126" s="10"/>
      <c r="D126" s="20">
        <f>((FEEDERS!$D$100*4)/10+FEEDERS!$D$19)*2</f>
        <v>15868.580000000002</v>
      </c>
      <c r="E126" s="10" t="s">
        <v>0</v>
      </c>
      <c r="F126" s="21">
        <f>+(D126*C126)/100</f>
        <v>0</v>
      </c>
      <c r="G126" s="22">
        <f>((FEEDERS!$G$100*4)/10+FEEDERS!$G$19)*2</f>
        <v>67.150000000000006</v>
      </c>
      <c r="H126" s="10" t="s">
        <v>0</v>
      </c>
      <c r="I126" s="22">
        <f>+(G126*C126)/100</f>
        <v>0</v>
      </c>
      <c r="J126" s="18">
        <f t="shared" si="2"/>
        <v>0</v>
      </c>
      <c r="K126" s="18">
        <f t="shared" si="3"/>
        <v>0</v>
      </c>
    </row>
    <row r="127" spans="1:11" ht="14" thickBot="1">
      <c r="A127" s="29"/>
      <c r="B127" s="34" t="s">
        <v>176</v>
      </c>
      <c r="C127" s="10"/>
      <c r="D127" s="20">
        <f>((FEEDERS!$D$99*4)/10+FEEDERS!$D$19)*2</f>
        <v>13347.739999999998</v>
      </c>
      <c r="E127" s="10" t="s">
        <v>0</v>
      </c>
      <c r="F127" s="21">
        <f>+(D127*C127)/100</f>
        <v>0</v>
      </c>
      <c r="G127" s="22">
        <f>((FEEDERS!$G$99*4)/10+FEEDERS!$G$19)*2</f>
        <v>63.949999999999996</v>
      </c>
      <c r="H127" s="10" t="s">
        <v>0</v>
      </c>
      <c r="I127" s="22">
        <f>+(G127*C127)/100</f>
        <v>0</v>
      </c>
      <c r="J127" s="18">
        <f t="shared" si="2"/>
        <v>0</v>
      </c>
      <c r="K127" s="18">
        <f t="shared" si="3"/>
        <v>0</v>
      </c>
    </row>
    <row r="128" spans="1:11" ht="14" thickBot="1">
      <c r="A128" s="29"/>
      <c r="B128" s="36" t="s">
        <v>156</v>
      </c>
      <c r="C128" s="10"/>
      <c r="D128" s="20">
        <f>((FEEDERS!$D$116*4)/10+FEEDERS!$D$16)*3</f>
        <v>5775.9000000000005</v>
      </c>
      <c r="E128" s="10" t="s">
        <v>0</v>
      </c>
      <c r="F128" s="21">
        <f>+(D128*C128)/100</f>
        <v>0</v>
      </c>
      <c r="G128" s="22">
        <f>((FEEDERS!$G$116*4)/10+FEEDERS!$G$16)*3</f>
        <v>66.300000000000011</v>
      </c>
      <c r="H128" s="10" t="s">
        <v>0</v>
      </c>
      <c r="I128" s="22">
        <f>+(G128*C128)/100</f>
        <v>0</v>
      </c>
      <c r="J128" s="18">
        <f t="shared" si="2"/>
        <v>0</v>
      </c>
      <c r="K128" s="18">
        <f t="shared" si="3"/>
        <v>0</v>
      </c>
    </row>
    <row r="129" spans="1:11" ht="14" thickBot="1">
      <c r="A129" s="29" t="s">
        <v>493</v>
      </c>
      <c r="B129" s="34"/>
      <c r="C129" s="10"/>
      <c r="D129" s="20">
        <v>100</v>
      </c>
      <c r="E129" s="10" t="s">
        <v>1</v>
      </c>
      <c r="F129" s="21">
        <f t="shared" ref="F129:F136" si="4">+D129*C129</f>
        <v>0</v>
      </c>
      <c r="G129" s="22">
        <v>0.5</v>
      </c>
      <c r="H129" s="10" t="s">
        <v>1</v>
      </c>
      <c r="I129" s="22">
        <f t="shared" ref="I129:I136" si="5">+G129*C129</f>
        <v>0</v>
      </c>
      <c r="J129" s="18">
        <f t="shared" si="2"/>
        <v>0</v>
      </c>
      <c r="K129" s="18">
        <f t="shared" si="3"/>
        <v>0</v>
      </c>
    </row>
    <row r="130" spans="1:11" ht="14" thickBot="1">
      <c r="A130" s="29" t="s">
        <v>494</v>
      </c>
      <c r="B130" s="34"/>
      <c r="C130" s="10"/>
      <c r="D130" s="20">
        <v>50</v>
      </c>
      <c r="E130" s="10" t="s">
        <v>1</v>
      </c>
      <c r="F130" s="21">
        <f t="shared" si="4"/>
        <v>0</v>
      </c>
      <c r="G130" s="22">
        <v>1</v>
      </c>
      <c r="H130" s="10" t="s">
        <v>1</v>
      </c>
      <c r="I130" s="22">
        <f t="shared" si="5"/>
        <v>0</v>
      </c>
      <c r="J130" s="18">
        <f t="shared" si="2"/>
        <v>0</v>
      </c>
      <c r="K130" s="18">
        <f t="shared" si="3"/>
        <v>0</v>
      </c>
    </row>
    <row r="131" spans="1:11" ht="14" thickBot="1">
      <c r="A131" s="29" t="s">
        <v>495</v>
      </c>
      <c r="B131" s="34"/>
      <c r="C131" s="10"/>
      <c r="D131" s="20">
        <v>50</v>
      </c>
      <c r="E131" s="10" t="s">
        <v>1</v>
      </c>
      <c r="F131" s="21">
        <f t="shared" si="4"/>
        <v>0</v>
      </c>
      <c r="G131" s="22">
        <v>1</v>
      </c>
      <c r="H131" s="10" t="s">
        <v>1</v>
      </c>
      <c r="I131" s="22">
        <f t="shared" si="5"/>
        <v>0</v>
      </c>
      <c r="J131" s="18">
        <f t="shared" si="2"/>
        <v>0</v>
      </c>
      <c r="K131" s="18">
        <f t="shared" si="3"/>
        <v>0</v>
      </c>
    </row>
    <row r="132" spans="1:11" ht="14" thickBot="1">
      <c r="A132" s="29" t="s">
        <v>498</v>
      </c>
      <c r="B132" s="34"/>
      <c r="C132" s="10"/>
      <c r="D132" s="20">
        <v>100</v>
      </c>
      <c r="E132" s="10" t="s">
        <v>1</v>
      </c>
      <c r="F132" s="21">
        <f t="shared" si="4"/>
        <v>0</v>
      </c>
      <c r="G132" s="22">
        <v>12</v>
      </c>
      <c r="H132" s="10" t="s">
        <v>1</v>
      </c>
      <c r="I132" s="22">
        <f t="shared" si="5"/>
        <v>0</v>
      </c>
      <c r="J132" s="18">
        <f t="shared" si="2"/>
        <v>0</v>
      </c>
      <c r="K132" s="18">
        <f t="shared" si="3"/>
        <v>0</v>
      </c>
    </row>
    <row r="133" spans="1:11" ht="14" thickBot="1">
      <c r="A133" s="29" t="s">
        <v>496</v>
      </c>
      <c r="B133" s="34"/>
      <c r="C133" s="10"/>
      <c r="D133" s="20">
        <v>100</v>
      </c>
      <c r="E133" s="10" t="s">
        <v>1</v>
      </c>
      <c r="F133" s="21">
        <f t="shared" si="4"/>
        <v>0</v>
      </c>
      <c r="G133" s="22">
        <v>8</v>
      </c>
      <c r="H133" s="10" t="s">
        <v>1</v>
      </c>
      <c r="I133" s="22">
        <f t="shared" si="5"/>
        <v>0</v>
      </c>
      <c r="J133" s="18">
        <f t="shared" si="2"/>
        <v>0</v>
      </c>
      <c r="K133" s="18">
        <f t="shared" si="3"/>
        <v>0</v>
      </c>
    </row>
    <row r="134" spans="1:11" ht="14" thickBot="1">
      <c r="A134" s="29" t="s">
        <v>478</v>
      </c>
      <c r="B134" s="34"/>
      <c r="C134" s="10"/>
      <c r="D134" s="20">
        <v>100</v>
      </c>
      <c r="E134" s="10" t="s">
        <v>1</v>
      </c>
      <c r="F134" s="21">
        <f t="shared" si="4"/>
        <v>0</v>
      </c>
      <c r="G134" s="22">
        <v>6</v>
      </c>
      <c r="H134" s="10" t="s">
        <v>1</v>
      </c>
      <c r="I134" s="22">
        <f t="shared" si="5"/>
        <v>0</v>
      </c>
      <c r="J134" s="18">
        <f t="shared" si="2"/>
        <v>0</v>
      </c>
      <c r="K134" s="18">
        <f t="shared" si="3"/>
        <v>0</v>
      </c>
    </row>
    <row r="135" spans="1:11" ht="14" thickBot="1">
      <c r="A135" s="29" t="s">
        <v>497</v>
      </c>
      <c r="B135" s="34"/>
      <c r="C135" s="10"/>
      <c r="D135" s="20">
        <v>100</v>
      </c>
      <c r="E135" s="10" t="s">
        <v>1</v>
      </c>
      <c r="F135" s="21">
        <f t="shared" si="4"/>
        <v>0</v>
      </c>
      <c r="G135" s="22">
        <v>4</v>
      </c>
      <c r="H135" s="10" t="s">
        <v>1</v>
      </c>
      <c r="I135" s="22">
        <f t="shared" si="5"/>
        <v>0</v>
      </c>
      <c r="J135" s="18">
        <f t="shared" si="2"/>
        <v>0</v>
      </c>
      <c r="K135" s="18">
        <f t="shared" si="3"/>
        <v>0</v>
      </c>
    </row>
    <row r="136" spans="1:11" ht="14" thickBot="1">
      <c r="A136" s="29" t="s">
        <v>479</v>
      </c>
      <c r="B136" s="34"/>
      <c r="C136" s="10"/>
      <c r="D136" s="20">
        <v>100</v>
      </c>
      <c r="E136" s="10" t="s">
        <v>1</v>
      </c>
      <c r="F136" s="21">
        <f t="shared" si="4"/>
        <v>0</v>
      </c>
      <c r="G136" s="22">
        <v>8</v>
      </c>
      <c r="H136" s="10" t="s">
        <v>1</v>
      </c>
      <c r="I136" s="22">
        <f t="shared" si="5"/>
        <v>0</v>
      </c>
      <c r="J136" s="18">
        <f t="shared" si="2"/>
        <v>0</v>
      </c>
      <c r="K136" s="18">
        <f t="shared" si="3"/>
        <v>0</v>
      </c>
    </row>
    <row r="137" spans="1:11" ht="14" thickBot="1">
      <c r="A137" s="29"/>
      <c r="B137" s="36" t="s">
        <v>155</v>
      </c>
      <c r="C137" s="10"/>
      <c r="D137" s="20">
        <f>((FEEDERS!$D$97*4)/10+FEEDERS!$D$17)*2</f>
        <v>9779.4399999999987</v>
      </c>
      <c r="E137" s="10" t="s">
        <v>0</v>
      </c>
      <c r="F137" s="21">
        <f>+(D137*C137)/100</f>
        <v>0</v>
      </c>
      <c r="G137" s="22">
        <f>((FEEDERS!$G$97*4)/10+FEEDERS!$G$17)*2</f>
        <v>48.6</v>
      </c>
      <c r="H137" s="10" t="s">
        <v>0</v>
      </c>
      <c r="I137" s="22">
        <f>+(G137*C137)/100</f>
        <v>0</v>
      </c>
      <c r="J137" s="18">
        <f t="shared" si="2"/>
        <v>0</v>
      </c>
      <c r="K137" s="18">
        <f t="shared" si="3"/>
        <v>0</v>
      </c>
    </row>
    <row r="138" spans="1:11" ht="14" thickBot="1">
      <c r="A138" s="29"/>
      <c r="B138" s="36" t="s">
        <v>156</v>
      </c>
      <c r="C138" s="10"/>
      <c r="D138" s="20">
        <f>((FEEDERS!$D$117*4)/10+FEEDERS!$D$17)*2</f>
        <v>4487.4400000000005</v>
      </c>
      <c r="E138" s="10" t="s">
        <v>0</v>
      </c>
      <c r="F138" s="21">
        <f>+(D138*C138)/100</f>
        <v>0</v>
      </c>
      <c r="G138" s="22">
        <f>((FEEDERS!$G$117*4)/10+FEEDERS!$G$17)*2</f>
        <v>47.8</v>
      </c>
      <c r="H138" s="10" t="s">
        <v>0</v>
      </c>
      <c r="I138" s="22">
        <f>+(G138*C138)/100</f>
        <v>0</v>
      </c>
      <c r="J138" s="18">
        <f t="shared" si="2"/>
        <v>0</v>
      </c>
      <c r="K138" s="18">
        <f t="shared" si="3"/>
        <v>0</v>
      </c>
    </row>
    <row r="139" spans="1:11" ht="14" thickBot="1">
      <c r="A139" s="29" t="s">
        <v>499</v>
      </c>
      <c r="B139" s="34"/>
      <c r="C139" s="10"/>
      <c r="D139" s="20">
        <v>100</v>
      </c>
      <c r="E139" s="10" t="s">
        <v>1</v>
      </c>
      <c r="F139" s="21">
        <f>+D139*C139</f>
        <v>0</v>
      </c>
      <c r="G139" s="22">
        <v>8</v>
      </c>
      <c r="H139" s="10" t="s">
        <v>1</v>
      </c>
      <c r="I139" s="22">
        <f>+G139*C139</f>
        <v>0</v>
      </c>
      <c r="J139" s="18">
        <f t="shared" si="2"/>
        <v>0</v>
      </c>
      <c r="K139" s="18">
        <f t="shared" si="3"/>
        <v>0</v>
      </c>
    </row>
    <row r="140" spans="1:11" ht="14" thickBot="1">
      <c r="A140" s="31"/>
      <c r="B140" s="34" t="s">
        <v>177</v>
      </c>
      <c r="C140" s="10"/>
      <c r="D140" s="20">
        <f>(FEEDERS!$D$100*4)/10+FEEDERS!$D$19</f>
        <v>7934.2900000000009</v>
      </c>
      <c r="E140" s="10" t="s">
        <v>0</v>
      </c>
      <c r="F140" s="21">
        <f>+(D140*C140)/100</f>
        <v>0</v>
      </c>
      <c r="G140" s="22">
        <f>(FEEDERS!$G$100*4)/10+FEEDERS!$G$19</f>
        <v>33.575000000000003</v>
      </c>
      <c r="H140" s="10" t="s">
        <v>0</v>
      </c>
      <c r="I140" s="22">
        <f>+(G140*C140)/100</f>
        <v>0</v>
      </c>
      <c r="J140" s="18">
        <f t="shared" si="2"/>
        <v>0</v>
      </c>
      <c r="K140" s="18">
        <f t="shared" si="3"/>
        <v>0</v>
      </c>
    </row>
    <row r="141" spans="1:11" ht="14" thickBot="1">
      <c r="A141" s="31"/>
      <c r="B141" s="34" t="s">
        <v>176</v>
      </c>
      <c r="C141" s="10"/>
      <c r="D141" s="20">
        <f>(FEEDERS!$D$99*4)/10+FEEDERS!$D$19</f>
        <v>6673.869999999999</v>
      </c>
      <c r="E141" s="10" t="s">
        <v>0</v>
      </c>
      <c r="F141" s="21">
        <f>+(D141*C141)/100</f>
        <v>0</v>
      </c>
      <c r="G141" s="22">
        <f>(FEEDERS!$G$99*4)/10+FEEDERS!$G$19</f>
        <v>31.974999999999998</v>
      </c>
      <c r="H141" s="10" t="s">
        <v>0</v>
      </c>
      <c r="I141" s="22">
        <f>+(G141*C141)/100</f>
        <v>0</v>
      </c>
      <c r="J141" s="18">
        <f t="shared" si="2"/>
        <v>0</v>
      </c>
      <c r="K141" s="18">
        <f t="shared" si="3"/>
        <v>0</v>
      </c>
    </row>
    <row r="142" spans="1:11" ht="14" thickBot="1">
      <c r="A142" s="31"/>
      <c r="B142" s="34" t="s">
        <v>462</v>
      </c>
      <c r="C142" s="10"/>
      <c r="D142" s="20">
        <f>((FEEDERS!$D$113*4)/10+FEEDERS!$D$16)*2</f>
        <v>3145.84</v>
      </c>
      <c r="E142" s="10" t="s">
        <v>0</v>
      </c>
      <c r="F142" s="21">
        <f>+(D142*C142)/100</f>
        <v>0</v>
      </c>
      <c r="G142" s="22">
        <f>((FEEDERS!$G$113*4)/10+FEEDERS!$G$16)*2</f>
        <v>40.200000000000003</v>
      </c>
      <c r="H142" s="10" t="s">
        <v>0</v>
      </c>
      <c r="I142" s="22">
        <f>+(G142*C142)/100</f>
        <v>0</v>
      </c>
      <c r="J142" s="18">
        <f t="shared" si="2"/>
        <v>0</v>
      </c>
      <c r="K142" s="18">
        <f t="shared" si="3"/>
        <v>0</v>
      </c>
    </row>
    <row r="143" spans="1:11" ht="14" thickBot="1">
      <c r="A143" s="31"/>
      <c r="B143" s="34" t="s">
        <v>461</v>
      </c>
      <c r="C143" s="10"/>
      <c r="D143" s="20">
        <f>(FEEDERS!$D$119*4)/10+FEEDERS!$D$19</f>
        <v>3091.8900000000003</v>
      </c>
      <c r="E143" s="10" t="s">
        <v>0</v>
      </c>
      <c r="F143" s="21">
        <f>+(D143*C143)/100</f>
        <v>0</v>
      </c>
      <c r="G143" s="22">
        <f>(FEEDERS!$G$119*4)/10+FEEDERS!$G$19</f>
        <v>31.574999999999999</v>
      </c>
      <c r="H143" s="10" t="s">
        <v>0</v>
      </c>
      <c r="I143" s="22">
        <f>+(G143*C143)/100</f>
        <v>0</v>
      </c>
      <c r="J143" s="18">
        <f t="shared" si="2"/>
        <v>0</v>
      </c>
      <c r="K143" s="18">
        <f t="shared" si="3"/>
        <v>0</v>
      </c>
    </row>
    <row r="144" spans="1:11" ht="14" thickBot="1">
      <c r="A144" s="29" t="s">
        <v>500</v>
      </c>
      <c r="B144" s="34"/>
      <c r="C144" s="10"/>
      <c r="D144" s="20">
        <v>50</v>
      </c>
      <c r="E144" s="10" t="s">
        <v>1</v>
      </c>
      <c r="F144" s="21">
        <f t="shared" ref="F144:F149" si="6">+D144*C144</f>
        <v>0</v>
      </c>
      <c r="G144" s="22">
        <v>2.5</v>
      </c>
      <c r="H144" s="10" t="s">
        <v>1</v>
      </c>
      <c r="I144" s="22">
        <f t="shared" ref="I144:I149" si="7">+G144*C144</f>
        <v>0</v>
      </c>
      <c r="J144" s="18">
        <f t="shared" ref="J144:J157" si="8">+(((I144*$I$324)+(F144*(1+$E$324)))*(1+$C$330))</f>
        <v>0</v>
      </c>
      <c r="K144" s="18">
        <f t="shared" si="3"/>
        <v>0</v>
      </c>
    </row>
    <row r="145" spans="1:11" ht="14" thickBot="1">
      <c r="A145" s="29" t="s">
        <v>480</v>
      </c>
      <c r="B145" s="34"/>
      <c r="C145" s="10"/>
      <c r="D145" s="20">
        <v>50</v>
      </c>
      <c r="E145" s="10" t="s">
        <v>1</v>
      </c>
      <c r="F145" s="21">
        <f t="shared" si="6"/>
        <v>0</v>
      </c>
      <c r="G145" s="22">
        <v>2</v>
      </c>
      <c r="H145" s="10" t="s">
        <v>1</v>
      </c>
      <c r="I145" s="22">
        <f t="shared" si="7"/>
        <v>0</v>
      </c>
      <c r="J145" s="18">
        <f t="shared" si="8"/>
        <v>0</v>
      </c>
      <c r="K145" s="18">
        <f t="shared" si="3"/>
        <v>0</v>
      </c>
    </row>
    <row r="146" spans="1:11" ht="14" thickBot="1">
      <c r="A146" s="31" t="s">
        <v>105</v>
      </c>
      <c r="B146" s="36"/>
      <c r="C146" s="10"/>
      <c r="D146" s="20">
        <v>100</v>
      </c>
      <c r="E146" s="10" t="s">
        <v>1</v>
      </c>
      <c r="F146" s="21">
        <f t="shared" si="6"/>
        <v>0</v>
      </c>
      <c r="G146" s="22">
        <v>16</v>
      </c>
      <c r="H146" s="10" t="s">
        <v>1</v>
      </c>
      <c r="I146" s="22">
        <f t="shared" si="7"/>
        <v>0</v>
      </c>
      <c r="J146" s="18">
        <f t="shared" si="8"/>
        <v>0</v>
      </c>
      <c r="K146" s="18">
        <f t="shared" si="3"/>
        <v>0</v>
      </c>
    </row>
    <row r="147" spans="1:11" ht="14" thickBot="1">
      <c r="A147" s="29" t="s">
        <v>174</v>
      </c>
      <c r="B147" s="36"/>
      <c r="C147" s="10"/>
      <c r="D147" s="20">
        <v>1150</v>
      </c>
      <c r="E147" s="10" t="s">
        <v>1</v>
      </c>
      <c r="F147" s="21">
        <f t="shared" si="6"/>
        <v>0</v>
      </c>
      <c r="G147" s="22">
        <v>5</v>
      </c>
      <c r="H147" s="10" t="s">
        <v>1</v>
      </c>
      <c r="I147" s="22">
        <f t="shared" si="7"/>
        <v>0</v>
      </c>
      <c r="J147" s="18">
        <f t="shared" si="8"/>
        <v>0</v>
      </c>
      <c r="K147" s="18">
        <f t="shared" si="3"/>
        <v>0</v>
      </c>
    </row>
    <row r="148" spans="1:11" ht="14" thickBot="1">
      <c r="A148" s="29" t="s">
        <v>175</v>
      </c>
      <c r="B148" s="36"/>
      <c r="C148" s="10"/>
      <c r="D148" s="20">
        <v>1750</v>
      </c>
      <c r="E148" s="10" t="s">
        <v>1</v>
      </c>
      <c r="F148" s="21">
        <f t="shared" si="6"/>
        <v>0</v>
      </c>
      <c r="G148" s="22">
        <v>6</v>
      </c>
      <c r="H148" s="10" t="s">
        <v>1</v>
      </c>
      <c r="I148" s="22">
        <f t="shared" si="7"/>
        <v>0</v>
      </c>
      <c r="J148" s="18">
        <f t="shared" si="8"/>
        <v>0</v>
      </c>
      <c r="K148" s="18">
        <f t="shared" si="3"/>
        <v>0</v>
      </c>
    </row>
    <row r="149" spans="1:11" ht="14" thickBot="1">
      <c r="A149" s="31" t="s">
        <v>170</v>
      </c>
      <c r="B149" s="36"/>
      <c r="C149" s="10"/>
      <c r="D149" s="20">
        <v>500</v>
      </c>
      <c r="E149" s="10" t="s">
        <v>1</v>
      </c>
      <c r="F149" s="21">
        <f t="shared" si="6"/>
        <v>0</v>
      </c>
      <c r="G149" s="22">
        <v>2</v>
      </c>
      <c r="H149" s="10" t="s">
        <v>1</v>
      </c>
      <c r="I149" s="22">
        <f t="shared" si="7"/>
        <v>0</v>
      </c>
      <c r="J149" s="18">
        <f t="shared" si="8"/>
        <v>0</v>
      </c>
      <c r="K149" s="18">
        <f t="shared" si="3"/>
        <v>0</v>
      </c>
    </row>
    <row r="150" spans="1:11" ht="14" thickBot="1">
      <c r="A150" s="62" t="s">
        <v>157</v>
      </c>
      <c r="B150" s="38"/>
      <c r="C150" s="10">
        <v>50</v>
      </c>
      <c r="D150" s="20">
        <f>FEEDERS!$D$11</f>
        <v>184.15</v>
      </c>
      <c r="E150" s="10" t="s">
        <v>0</v>
      </c>
      <c r="F150" s="21">
        <f t="shared" ref="F150:F157" si="9">+(D150*C150)/100</f>
        <v>92.075000000000003</v>
      </c>
      <c r="G150" s="22">
        <f>FEEDERS!$G$11</f>
        <v>4.96</v>
      </c>
      <c r="H150" s="10" t="s">
        <v>0</v>
      </c>
      <c r="I150" s="22">
        <f t="shared" ref="I150:I157" si="10">+(G150*C150)/100</f>
        <v>2.48</v>
      </c>
      <c r="J150" s="18">
        <f t="shared" si="8"/>
        <v>344.55268749999999</v>
      </c>
      <c r="K150" s="18">
        <f t="shared" si="3"/>
        <v>6.8910537500000002</v>
      </c>
    </row>
    <row r="151" spans="1:11" ht="14" thickBot="1">
      <c r="A151" s="62" t="s">
        <v>158</v>
      </c>
      <c r="B151" s="38"/>
      <c r="C151" s="10">
        <v>25</v>
      </c>
      <c r="D151" s="20">
        <f>FEEDERS!$D$12</f>
        <v>312.2</v>
      </c>
      <c r="E151" s="10" t="s">
        <v>0</v>
      </c>
      <c r="F151" s="21">
        <f t="shared" si="9"/>
        <v>78.05</v>
      </c>
      <c r="G151" s="22">
        <f>FEEDERS!$G$12</f>
        <v>6.9379999999999997</v>
      </c>
      <c r="H151" s="10" t="s">
        <v>0</v>
      </c>
      <c r="I151" s="22">
        <f t="shared" si="10"/>
        <v>1.7344999999999999</v>
      </c>
      <c r="J151" s="18">
        <f t="shared" si="8"/>
        <v>256.03112499999997</v>
      </c>
      <c r="K151" s="18">
        <f t="shared" ref="K151:K214" si="11">IF(J151=0,0,J151/C151)</f>
        <v>10.241244999999999</v>
      </c>
    </row>
    <row r="152" spans="1:11" ht="14" thickBot="1">
      <c r="A152" s="75" t="s">
        <v>517</v>
      </c>
      <c r="B152" s="38"/>
      <c r="C152" s="10"/>
      <c r="D152" s="20">
        <f>FEEDERS!$D$13</f>
        <v>508.20000000000005</v>
      </c>
      <c r="E152" s="10" t="s">
        <v>0</v>
      </c>
      <c r="F152" s="21">
        <f t="shared" si="9"/>
        <v>0</v>
      </c>
      <c r="G152" s="22">
        <f>FEEDERS!$G$13</f>
        <v>8.1820000000000004</v>
      </c>
      <c r="H152" s="10" t="s">
        <v>0</v>
      </c>
      <c r="I152" s="22">
        <f t="shared" si="10"/>
        <v>0</v>
      </c>
      <c r="J152" s="18">
        <f t="shared" si="8"/>
        <v>0</v>
      </c>
      <c r="K152" s="18">
        <f t="shared" si="11"/>
        <v>0</v>
      </c>
    </row>
    <row r="153" spans="1:11" ht="14" thickBot="1">
      <c r="A153" s="75" t="s">
        <v>211</v>
      </c>
      <c r="B153" s="38"/>
      <c r="C153" s="10"/>
      <c r="D153" s="20">
        <f>FEEDERS!$D$14</f>
        <v>621.6</v>
      </c>
      <c r="E153" s="10" t="s">
        <v>0</v>
      </c>
      <c r="F153" s="21">
        <f t="shared" si="9"/>
        <v>0</v>
      </c>
      <c r="G153" s="22">
        <f>FEEDERS!$G$14</f>
        <v>9.5419999999999998</v>
      </c>
      <c r="H153" s="10" t="s">
        <v>0</v>
      </c>
      <c r="I153" s="22">
        <f t="shared" si="10"/>
        <v>0</v>
      </c>
      <c r="J153" s="18">
        <f t="shared" si="8"/>
        <v>0</v>
      </c>
      <c r="K153" s="18">
        <f t="shared" si="11"/>
        <v>0</v>
      </c>
    </row>
    <row r="154" spans="1:11" ht="14" thickBot="1">
      <c r="A154" s="75" t="s">
        <v>212</v>
      </c>
      <c r="B154" s="38"/>
      <c r="C154" s="10"/>
      <c r="D154" s="20">
        <f>FEEDERS!$D$15</f>
        <v>700.65</v>
      </c>
      <c r="E154" s="10" t="s">
        <v>0</v>
      </c>
      <c r="F154" s="21">
        <f t="shared" si="9"/>
        <v>0</v>
      </c>
      <c r="G154" s="22">
        <f>FEEDERS!$G$15</f>
        <v>11.212999999999999</v>
      </c>
      <c r="H154" s="10" t="s">
        <v>0</v>
      </c>
      <c r="I154" s="22">
        <f t="shared" si="10"/>
        <v>0</v>
      </c>
      <c r="J154" s="18">
        <f t="shared" si="8"/>
        <v>0</v>
      </c>
      <c r="K154" s="18">
        <f t="shared" si="11"/>
        <v>0</v>
      </c>
    </row>
    <row r="155" spans="1:11" ht="14" thickBot="1">
      <c r="A155" s="62" t="s">
        <v>159</v>
      </c>
      <c r="B155" s="38"/>
      <c r="C155" s="10"/>
      <c r="D155" s="20">
        <f>FEEDERS!$D$16</f>
        <v>1024.4000000000001</v>
      </c>
      <c r="E155" s="10" t="s">
        <v>0</v>
      </c>
      <c r="F155" s="21">
        <f t="shared" si="9"/>
        <v>0</v>
      </c>
      <c r="G155" s="22">
        <f>FEEDERS!$G$16</f>
        <v>12.1</v>
      </c>
      <c r="H155" s="10" t="s">
        <v>0</v>
      </c>
      <c r="I155" s="22">
        <f t="shared" si="10"/>
        <v>0</v>
      </c>
      <c r="J155" s="18">
        <f t="shared" si="8"/>
        <v>0</v>
      </c>
      <c r="K155" s="18">
        <f t="shared" si="11"/>
        <v>0</v>
      </c>
    </row>
    <row r="156" spans="1:11" ht="14" thickBot="1">
      <c r="A156" s="62" t="s">
        <v>160</v>
      </c>
      <c r="B156" s="38"/>
      <c r="C156" s="10"/>
      <c r="D156" s="20">
        <f>FEEDERS!$D$17</f>
        <v>1250</v>
      </c>
      <c r="E156" s="10" t="s">
        <v>0</v>
      </c>
      <c r="F156" s="21">
        <f>+(D156*C156)/100</f>
        <v>0</v>
      </c>
      <c r="G156" s="22">
        <f>FEEDERS!$G$17</f>
        <v>13.5</v>
      </c>
      <c r="H156" s="10" t="s">
        <v>0</v>
      </c>
      <c r="I156" s="22">
        <f>+(G156*C156)/100</f>
        <v>0</v>
      </c>
      <c r="J156" s="18">
        <f t="shared" si="8"/>
        <v>0</v>
      </c>
      <c r="K156" s="18">
        <f>IF(J156=0,0,J156/C156)</f>
        <v>0</v>
      </c>
    </row>
    <row r="157" spans="1:11" ht="14" thickBot="1">
      <c r="A157" s="62" t="s">
        <v>161</v>
      </c>
      <c r="B157" s="38"/>
      <c r="C157" s="10"/>
      <c r="D157" s="20">
        <f>FEEDERS!$D$19</f>
        <v>1553.65</v>
      </c>
      <c r="E157" s="10" t="s">
        <v>0</v>
      </c>
      <c r="F157" s="21">
        <f t="shared" si="9"/>
        <v>0</v>
      </c>
      <c r="G157" s="22">
        <f>FEEDERS!$G$19</f>
        <v>18.774999999999999</v>
      </c>
      <c r="H157" s="10" t="s">
        <v>0</v>
      </c>
      <c r="I157" s="22">
        <f t="shared" si="10"/>
        <v>0</v>
      </c>
      <c r="J157" s="18">
        <f t="shared" si="8"/>
        <v>0</v>
      </c>
      <c r="K157" s="18">
        <f t="shared" si="11"/>
        <v>0</v>
      </c>
    </row>
    <row r="158" spans="1:11" ht="14" thickBot="1">
      <c r="A158" s="31"/>
      <c r="B158" s="36"/>
      <c r="C158" s="10"/>
      <c r="D158" s="20"/>
      <c r="E158" s="10"/>
      <c r="F158" s="21"/>
      <c r="G158" s="22"/>
      <c r="H158" s="10"/>
      <c r="I158" s="22"/>
      <c r="J158" s="18"/>
      <c r="K158" s="18"/>
    </row>
    <row r="159" spans="1:11" ht="14" thickBot="1">
      <c r="A159" s="30" t="s">
        <v>56</v>
      </c>
      <c r="B159" s="38">
        <f>SUM(J160:J190)</f>
        <v>0</v>
      </c>
      <c r="C159" s="10"/>
      <c r="D159" s="20"/>
      <c r="E159" s="10"/>
      <c r="F159" s="21"/>
      <c r="G159" s="22"/>
      <c r="H159" s="10"/>
      <c r="I159" s="22"/>
      <c r="J159" s="18"/>
      <c r="K159" s="18"/>
    </row>
    <row r="160" spans="1:11" ht="14" thickBot="1">
      <c r="A160" s="31" t="s">
        <v>132</v>
      </c>
      <c r="B160" s="38"/>
      <c r="C160" s="10"/>
      <c r="D160" s="20">
        <v>2000</v>
      </c>
      <c r="E160" s="10" t="s">
        <v>1</v>
      </c>
      <c r="F160" s="21">
        <f t="shared" ref="F160:F178" si="12">+D160*C160</f>
        <v>0</v>
      </c>
      <c r="G160" s="22">
        <v>15</v>
      </c>
      <c r="H160" s="10" t="s">
        <v>1</v>
      </c>
      <c r="I160" s="22">
        <f t="shared" ref="I160:I178" si="13">+G160*C160</f>
        <v>0</v>
      </c>
      <c r="J160" s="18">
        <f t="shared" ref="J160:J189" si="14">+(((I160*$I$324)+(F160*(1+$E$324)))*(1+$C$330))</f>
        <v>0</v>
      </c>
      <c r="K160" s="18">
        <f t="shared" si="11"/>
        <v>0</v>
      </c>
    </row>
    <row r="161" spans="1:11" ht="14" thickBot="1">
      <c r="A161" s="31" t="s">
        <v>133</v>
      </c>
      <c r="B161" s="38"/>
      <c r="C161" s="10"/>
      <c r="D161" s="20">
        <v>1200</v>
      </c>
      <c r="E161" s="10" t="s">
        <v>1</v>
      </c>
      <c r="F161" s="21">
        <f t="shared" si="12"/>
        <v>0</v>
      </c>
      <c r="G161" s="22">
        <v>20</v>
      </c>
      <c r="H161" s="10" t="s">
        <v>1</v>
      </c>
      <c r="I161" s="22">
        <f t="shared" si="13"/>
        <v>0</v>
      </c>
      <c r="J161" s="18">
        <f t="shared" si="14"/>
        <v>0</v>
      </c>
      <c r="K161" s="18">
        <f t="shared" si="11"/>
        <v>0</v>
      </c>
    </row>
    <row r="162" spans="1:11" ht="14" thickBot="1">
      <c r="A162" s="31" t="s">
        <v>57</v>
      </c>
      <c r="B162" s="38"/>
      <c r="C162" s="10"/>
      <c r="D162" s="20">
        <v>200</v>
      </c>
      <c r="E162" s="10" t="s">
        <v>1</v>
      </c>
      <c r="F162" s="21">
        <f t="shared" si="12"/>
        <v>0</v>
      </c>
      <c r="G162" s="22">
        <v>2.75</v>
      </c>
      <c r="H162" s="10" t="s">
        <v>1</v>
      </c>
      <c r="I162" s="22">
        <f t="shared" si="13"/>
        <v>0</v>
      </c>
      <c r="J162" s="18">
        <f t="shared" si="14"/>
        <v>0</v>
      </c>
      <c r="K162" s="18">
        <f t="shared" si="11"/>
        <v>0</v>
      </c>
    </row>
    <row r="163" spans="1:11" ht="14" thickBot="1">
      <c r="A163" s="62" t="s">
        <v>165</v>
      </c>
      <c r="B163" s="38"/>
      <c r="C163" s="10"/>
      <c r="D163" s="20">
        <v>8000</v>
      </c>
      <c r="E163" s="10" t="s">
        <v>1</v>
      </c>
      <c r="F163" s="21">
        <f t="shared" si="12"/>
        <v>0</v>
      </c>
      <c r="G163" s="22">
        <v>45</v>
      </c>
      <c r="H163" s="10" t="s">
        <v>1</v>
      </c>
      <c r="I163" s="22">
        <f t="shared" si="13"/>
        <v>0</v>
      </c>
      <c r="J163" s="18">
        <f t="shared" si="14"/>
        <v>0</v>
      </c>
      <c r="K163" s="18">
        <f t="shared" si="11"/>
        <v>0</v>
      </c>
    </row>
    <row r="164" spans="1:11" ht="14" thickBot="1">
      <c r="A164" s="62" t="s">
        <v>64</v>
      </c>
      <c r="B164" s="38"/>
      <c r="C164" s="10"/>
      <c r="D164" s="20">
        <v>600</v>
      </c>
      <c r="E164" s="10" t="s">
        <v>1</v>
      </c>
      <c r="F164" s="21">
        <f t="shared" si="12"/>
        <v>0</v>
      </c>
      <c r="G164" s="22">
        <v>4</v>
      </c>
      <c r="H164" s="10" t="s">
        <v>1</v>
      </c>
      <c r="I164" s="22">
        <f t="shared" si="13"/>
        <v>0</v>
      </c>
      <c r="J164" s="18">
        <f t="shared" si="14"/>
        <v>0</v>
      </c>
      <c r="K164" s="18">
        <f t="shared" si="11"/>
        <v>0</v>
      </c>
    </row>
    <row r="165" spans="1:11" ht="14" thickBot="1">
      <c r="A165" s="62" t="s">
        <v>63</v>
      </c>
      <c r="B165" s="38"/>
      <c r="C165" s="10"/>
      <c r="D165" s="20">
        <v>1500</v>
      </c>
      <c r="E165" s="10" t="s">
        <v>1</v>
      </c>
      <c r="F165" s="21">
        <f t="shared" si="12"/>
        <v>0</v>
      </c>
      <c r="G165" s="22">
        <v>15</v>
      </c>
      <c r="H165" s="10" t="s">
        <v>1</v>
      </c>
      <c r="I165" s="22">
        <f t="shared" si="13"/>
        <v>0</v>
      </c>
      <c r="J165" s="18">
        <f t="shared" si="14"/>
        <v>0</v>
      </c>
      <c r="K165" s="18">
        <f t="shared" si="11"/>
        <v>0</v>
      </c>
    </row>
    <row r="166" spans="1:11" ht="14" thickBot="1">
      <c r="A166" s="75" t="s">
        <v>145</v>
      </c>
      <c r="B166" s="38"/>
      <c r="C166" s="10"/>
      <c r="D166" s="20">
        <v>160</v>
      </c>
      <c r="E166" s="10" t="s">
        <v>1</v>
      </c>
      <c r="F166" s="21">
        <f t="shared" si="12"/>
        <v>0</v>
      </c>
      <c r="G166" s="22">
        <v>11</v>
      </c>
      <c r="H166" s="10" t="s">
        <v>1</v>
      </c>
      <c r="I166" s="22">
        <f t="shared" si="13"/>
        <v>0</v>
      </c>
      <c r="J166" s="18">
        <f t="shared" si="14"/>
        <v>0</v>
      </c>
      <c r="K166" s="18">
        <f t="shared" si="11"/>
        <v>0</v>
      </c>
    </row>
    <row r="167" spans="1:11" ht="14" thickBot="1">
      <c r="A167" s="62" t="s">
        <v>134</v>
      </c>
      <c r="B167" s="38"/>
      <c r="C167" s="10"/>
      <c r="D167" s="20">
        <v>150</v>
      </c>
      <c r="E167" s="10" t="s">
        <v>1</v>
      </c>
      <c r="F167" s="21">
        <f t="shared" si="12"/>
        <v>0</v>
      </c>
      <c r="G167" s="22">
        <v>8</v>
      </c>
      <c r="H167" s="10" t="s">
        <v>1</v>
      </c>
      <c r="I167" s="22">
        <f t="shared" si="13"/>
        <v>0</v>
      </c>
      <c r="J167" s="18">
        <f t="shared" si="14"/>
        <v>0</v>
      </c>
      <c r="K167" s="18">
        <f t="shared" si="11"/>
        <v>0</v>
      </c>
    </row>
    <row r="168" spans="1:11" ht="14" thickBot="1">
      <c r="A168" s="62" t="s">
        <v>135</v>
      </c>
      <c r="B168" s="38"/>
      <c r="C168" s="10"/>
      <c r="D168" s="20">
        <v>150</v>
      </c>
      <c r="E168" s="10" t="s">
        <v>1</v>
      </c>
      <c r="F168" s="21">
        <f t="shared" si="12"/>
        <v>0</v>
      </c>
      <c r="G168" s="22">
        <v>6</v>
      </c>
      <c r="H168" s="10" t="s">
        <v>1</v>
      </c>
      <c r="I168" s="22">
        <f t="shared" si="13"/>
        <v>0</v>
      </c>
      <c r="J168" s="18">
        <f t="shared" si="14"/>
        <v>0</v>
      </c>
      <c r="K168" s="18">
        <f t="shared" si="11"/>
        <v>0</v>
      </c>
    </row>
    <row r="169" spans="1:11" ht="14" thickBot="1">
      <c r="A169" s="62" t="s">
        <v>137</v>
      </c>
      <c r="B169" s="38"/>
      <c r="C169" s="10"/>
      <c r="D169" s="20">
        <v>150</v>
      </c>
      <c r="E169" s="10" t="s">
        <v>1</v>
      </c>
      <c r="F169" s="21">
        <f t="shared" si="12"/>
        <v>0</v>
      </c>
      <c r="G169" s="22">
        <v>6</v>
      </c>
      <c r="H169" s="10" t="s">
        <v>1</v>
      </c>
      <c r="I169" s="22">
        <f t="shared" si="13"/>
        <v>0</v>
      </c>
      <c r="J169" s="18">
        <f t="shared" si="14"/>
        <v>0</v>
      </c>
      <c r="K169" s="18">
        <f t="shared" si="11"/>
        <v>0</v>
      </c>
    </row>
    <row r="170" spans="1:11" ht="14" thickBot="1">
      <c r="A170" s="62" t="s">
        <v>136</v>
      </c>
      <c r="B170" s="38"/>
      <c r="C170" s="10"/>
      <c r="D170" s="20">
        <v>70</v>
      </c>
      <c r="E170" s="10" t="s">
        <v>1</v>
      </c>
      <c r="F170" s="21">
        <f t="shared" si="12"/>
        <v>0</v>
      </c>
      <c r="G170" s="22">
        <v>1.25</v>
      </c>
      <c r="H170" s="10" t="s">
        <v>1</v>
      </c>
      <c r="I170" s="22">
        <f t="shared" si="13"/>
        <v>0</v>
      </c>
      <c r="J170" s="18">
        <f t="shared" si="14"/>
        <v>0</v>
      </c>
      <c r="K170" s="18">
        <f t="shared" si="11"/>
        <v>0</v>
      </c>
    </row>
    <row r="171" spans="1:11" ht="14" thickBot="1">
      <c r="A171" s="62" t="s">
        <v>87</v>
      </c>
      <c r="B171" s="38"/>
      <c r="C171" s="10"/>
      <c r="D171" s="20">
        <v>125</v>
      </c>
      <c r="E171" s="10" t="s">
        <v>1</v>
      </c>
      <c r="F171" s="21">
        <f t="shared" si="12"/>
        <v>0</v>
      </c>
      <c r="G171" s="22">
        <v>8</v>
      </c>
      <c r="H171" s="10" t="s">
        <v>1</v>
      </c>
      <c r="I171" s="22">
        <f t="shared" si="13"/>
        <v>0</v>
      </c>
      <c r="J171" s="18">
        <f t="shared" si="14"/>
        <v>0</v>
      </c>
      <c r="K171" s="18">
        <f t="shared" si="11"/>
        <v>0</v>
      </c>
    </row>
    <row r="172" spans="1:11" ht="14" thickBot="1">
      <c r="A172" s="31" t="s">
        <v>162</v>
      </c>
      <c r="B172" s="36"/>
      <c r="C172" s="10"/>
      <c r="D172" s="20">
        <v>125</v>
      </c>
      <c r="E172" s="10" t="s">
        <v>1</v>
      </c>
      <c r="F172" s="21">
        <f>+D172*C172</f>
        <v>0</v>
      </c>
      <c r="G172" s="22">
        <v>2</v>
      </c>
      <c r="H172" s="10" t="s">
        <v>1</v>
      </c>
      <c r="I172" s="22">
        <f>+G172*C172</f>
        <v>0</v>
      </c>
      <c r="J172" s="18">
        <f t="shared" si="14"/>
        <v>0</v>
      </c>
      <c r="K172" s="18">
        <f t="shared" si="11"/>
        <v>0</v>
      </c>
    </row>
    <row r="173" spans="1:11" ht="14" thickBot="1">
      <c r="A173" s="62"/>
      <c r="B173" s="36" t="s">
        <v>70</v>
      </c>
      <c r="C173" s="10"/>
      <c r="D173" s="20">
        <f>(FEEDERS!$D$84*3)/10+FEEDERS!$D$11</f>
        <v>283.51</v>
      </c>
      <c r="E173" s="10" t="s">
        <v>0</v>
      </c>
      <c r="F173" s="21">
        <f>+(D173*C173)/100</f>
        <v>0</v>
      </c>
      <c r="G173" s="22">
        <f>(FEEDERS!$G$84*3)/10+FEEDERS!$G$11</f>
        <v>6.76</v>
      </c>
      <c r="H173" s="10" t="s">
        <v>0</v>
      </c>
      <c r="I173" s="22">
        <f>+(G173*C173)/100</f>
        <v>0</v>
      </c>
      <c r="J173" s="18">
        <f t="shared" si="14"/>
        <v>0</v>
      </c>
      <c r="K173" s="18">
        <f t="shared" si="11"/>
        <v>0</v>
      </c>
    </row>
    <row r="174" spans="1:11" ht="14" thickBot="1">
      <c r="A174" s="29" t="s">
        <v>181</v>
      </c>
      <c r="B174" s="36"/>
      <c r="C174" s="10"/>
      <c r="D174" s="20">
        <v>200</v>
      </c>
      <c r="E174" s="10" t="s">
        <v>1</v>
      </c>
      <c r="F174" s="21">
        <f>+D174*C174</f>
        <v>0</v>
      </c>
      <c r="G174" s="22">
        <v>3</v>
      </c>
      <c r="H174" s="10" t="s">
        <v>1</v>
      </c>
      <c r="I174" s="22">
        <f>+G174*C174</f>
        <v>0</v>
      </c>
      <c r="J174" s="18">
        <f t="shared" si="14"/>
        <v>0</v>
      </c>
      <c r="K174" s="18">
        <f>IF(J174=0,0,J174/C174)</f>
        <v>0</v>
      </c>
    </row>
    <row r="175" spans="1:11" ht="14" thickBot="1">
      <c r="A175" s="62"/>
      <c r="B175" s="36" t="s">
        <v>70</v>
      </c>
      <c r="C175" s="10"/>
      <c r="D175" s="20">
        <f>(FEEDERS!$D$86*3)/10+FEEDERS!$D$11</f>
        <v>458.04999999999995</v>
      </c>
      <c r="E175" s="10" t="s">
        <v>0</v>
      </c>
      <c r="F175" s="21">
        <f>+(D175*C175)/100</f>
        <v>0</v>
      </c>
      <c r="G175" s="22">
        <f>(FEEDERS!$G$86*3)/10+FEEDERS!$G$11</f>
        <v>7.0600000000000005</v>
      </c>
      <c r="H175" s="10" t="s">
        <v>0</v>
      </c>
      <c r="I175" s="22">
        <f>+(G175*C175)/100</f>
        <v>0</v>
      </c>
      <c r="J175" s="18">
        <f t="shared" si="14"/>
        <v>0</v>
      </c>
      <c r="K175" s="18">
        <f>IF(J175=0,0,J175/C175)</f>
        <v>0</v>
      </c>
    </row>
    <row r="176" spans="1:11" ht="14" thickBot="1">
      <c r="A176" s="31" t="s">
        <v>163</v>
      </c>
      <c r="B176" s="36"/>
      <c r="C176" s="10"/>
      <c r="D176" s="20">
        <v>200</v>
      </c>
      <c r="E176" s="10" t="s">
        <v>1</v>
      </c>
      <c r="F176" s="21">
        <f>+D176*C176</f>
        <v>0</v>
      </c>
      <c r="G176" s="22">
        <v>3</v>
      </c>
      <c r="H176" s="10" t="s">
        <v>1</v>
      </c>
      <c r="I176" s="22">
        <f>+G176*C176</f>
        <v>0</v>
      </c>
      <c r="J176" s="18">
        <f t="shared" si="14"/>
        <v>0</v>
      </c>
      <c r="K176" s="18">
        <f t="shared" si="11"/>
        <v>0</v>
      </c>
    </row>
    <row r="177" spans="1:11" ht="14" thickBot="1">
      <c r="A177" s="62"/>
      <c r="B177" s="36" t="s">
        <v>70</v>
      </c>
      <c r="C177" s="10"/>
      <c r="D177" s="20">
        <f>(FEEDERS!$D$87*3)/10+FEEDERS!$D$12</f>
        <v>731.3</v>
      </c>
      <c r="E177" s="10" t="s">
        <v>0</v>
      </c>
      <c r="F177" s="21">
        <f>+(D177*C177)/100</f>
        <v>0</v>
      </c>
      <c r="G177" s="22">
        <f>(FEEDERS!$G$87*3)/10+FEEDERS!$G$12</f>
        <v>9.4879999999999995</v>
      </c>
      <c r="H177" s="10" t="s">
        <v>0</v>
      </c>
      <c r="I177" s="22">
        <f>+(G177*C177)/100</f>
        <v>0</v>
      </c>
      <c r="J177" s="18">
        <f t="shared" si="14"/>
        <v>0</v>
      </c>
      <c r="K177" s="18">
        <f t="shared" si="11"/>
        <v>0</v>
      </c>
    </row>
    <row r="178" spans="1:11" ht="14" thickBot="1">
      <c r="A178" s="31" t="s">
        <v>113</v>
      </c>
      <c r="B178" s="36"/>
      <c r="C178" s="10"/>
      <c r="D178" s="20">
        <v>350</v>
      </c>
      <c r="E178" s="10" t="s">
        <v>1</v>
      </c>
      <c r="F178" s="21">
        <f t="shared" si="12"/>
        <v>0</v>
      </c>
      <c r="G178" s="22">
        <v>4</v>
      </c>
      <c r="H178" s="10" t="s">
        <v>1</v>
      </c>
      <c r="I178" s="22">
        <f t="shared" si="13"/>
        <v>0</v>
      </c>
      <c r="J178" s="18">
        <f t="shared" si="14"/>
        <v>0</v>
      </c>
      <c r="K178" s="18">
        <f t="shared" si="11"/>
        <v>0</v>
      </c>
    </row>
    <row r="179" spans="1:11" ht="14" thickBot="1">
      <c r="A179" s="31"/>
      <c r="B179" s="36" t="s">
        <v>70</v>
      </c>
      <c r="C179" s="10"/>
      <c r="D179" s="20">
        <f>(FEEDERS!$D$88*3)/10+FEEDERS!$D$13</f>
        <v>1012.8299999999999</v>
      </c>
      <c r="E179" s="10" t="s">
        <v>0</v>
      </c>
      <c r="F179" s="21">
        <f>+(D179*C179)/100</f>
        <v>0</v>
      </c>
      <c r="G179" s="22">
        <f>(FEEDERS!$G$88*3)/10+FEEDERS!$G$13</f>
        <v>10.882000000000001</v>
      </c>
      <c r="H179" s="10" t="s">
        <v>0</v>
      </c>
      <c r="I179" s="22">
        <f>+(G179*C179)/100</f>
        <v>0</v>
      </c>
      <c r="J179" s="18">
        <f t="shared" si="14"/>
        <v>0</v>
      </c>
      <c r="K179" s="18">
        <f t="shared" si="11"/>
        <v>0</v>
      </c>
    </row>
    <row r="180" spans="1:11" ht="14" thickBot="1">
      <c r="A180" s="31" t="s">
        <v>108</v>
      </c>
      <c r="B180" s="36"/>
      <c r="C180" s="10"/>
      <c r="D180" s="20">
        <v>725</v>
      </c>
      <c r="E180" s="10" t="s">
        <v>1</v>
      </c>
      <c r="F180" s="21">
        <f>+D180*C180</f>
        <v>0</v>
      </c>
      <c r="G180" s="22">
        <v>6.5</v>
      </c>
      <c r="H180" s="10" t="s">
        <v>1</v>
      </c>
      <c r="I180" s="22">
        <f>+G180*C180</f>
        <v>0</v>
      </c>
      <c r="J180" s="18">
        <f t="shared" si="14"/>
        <v>0</v>
      </c>
      <c r="K180" s="18">
        <f t="shared" si="11"/>
        <v>0</v>
      </c>
    </row>
    <row r="181" spans="1:11" ht="14" thickBot="1">
      <c r="A181" s="31"/>
      <c r="B181" s="36" t="s">
        <v>70</v>
      </c>
      <c r="C181" s="10"/>
      <c r="D181" s="20">
        <f>(FEEDERS!$D$93*3)/10+FEEDERS!$D$15</f>
        <v>2044.7550000000001</v>
      </c>
      <c r="E181" s="10" t="s">
        <v>0</v>
      </c>
      <c r="F181" s="21">
        <f>+(D181*C181)/100</f>
        <v>0</v>
      </c>
      <c r="G181" s="22">
        <f>(FEEDERS!$G$93*3)/10+FEEDERS!$G$15</f>
        <v>16.312999999999999</v>
      </c>
      <c r="H181" s="10" t="s">
        <v>0</v>
      </c>
      <c r="I181" s="22">
        <f>+(G181*C181)/100</f>
        <v>0</v>
      </c>
      <c r="J181" s="18">
        <f t="shared" si="14"/>
        <v>0</v>
      </c>
      <c r="K181" s="18">
        <f t="shared" si="11"/>
        <v>0</v>
      </c>
    </row>
    <row r="182" spans="1:11" ht="14" thickBot="1">
      <c r="A182" s="31" t="s">
        <v>109</v>
      </c>
      <c r="B182" s="36"/>
      <c r="C182" s="10"/>
      <c r="D182" s="20">
        <v>1300</v>
      </c>
      <c r="E182" s="10" t="s">
        <v>1</v>
      </c>
      <c r="F182" s="21">
        <f>+D182*C182</f>
        <v>0</v>
      </c>
      <c r="G182" s="22">
        <v>10.75</v>
      </c>
      <c r="H182" s="10" t="s">
        <v>1</v>
      </c>
      <c r="I182" s="22">
        <f>+G182*C182</f>
        <v>0</v>
      </c>
      <c r="J182" s="18">
        <f t="shared" si="14"/>
        <v>0</v>
      </c>
      <c r="K182" s="18">
        <f t="shared" si="11"/>
        <v>0</v>
      </c>
    </row>
    <row r="183" spans="1:11" ht="14" thickBot="1">
      <c r="A183" s="31"/>
      <c r="B183" s="36" t="s">
        <v>70</v>
      </c>
      <c r="C183" s="10"/>
      <c r="D183" s="20">
        <f>(FEEDERS!$D$99*3)/10+FEEDERS!$D$19</f>
        <v>5393.8149999999996</v>
      </c>
      <c r="E183" s="10" t="s">
        <v>0</v>
      </c>
      <c r="F183" s="21">
        <f>+(D183*C183)/100</f>
        <v>0</v>
      </c>
      <c r="G183" s="22">
        <f>(FEEDERS!$G$99*3)/10+FEEDERS!$G$19</f>
        <v>28.674999999999997</v>
      </c>
      <c r="H183" s="10" t="s">
        <v>0</v>
      </c>
      <c r="I183" s="22">
        <f>+(G183*C183)/100</f>
        <v>0</v>
      </c>
      <c r="J183" s="18">
        <f t="shared" si="14"/>
        <v>0</v>
      </c>
      <c r="K183" s="18">
        <f t="shared" si="11"/>
        <v>0</v>
      </c>
    </row>
    <row r="184" spans="1:11" ht="14" thickBot="1">
      <c r="A184" s="31" t="s">
        <v>112</v>
      </c>
      <c r="B184" s="36"/>
      <c r="C184" s="10"/>
      <c r="D184" s="20">
        <v>2600</v>
      </c>
      <c r="E184" s="10" t="s">
        <v>1</v>
      </c>
      <c r="F184" s="21">
        <f>+D184*C184</f>
        <v>0</v>
      </c>
      <c r="G184" s="22">
        <v>18</v>
      </c>
      <c r="H184" s="10" t="s">
        <v>1</v>
      </c>
      <c r="I184" s="22">
        <f>+G184*C184</f>
        <v>0</v>
      </c>
      <c r="J184" s="18">
        <f t="shared" si="14"/>
        <v>0</v>
      </c>
      <c r="K184" s="18">
        <f t="shared" si="11"/>
        <v>0</v>
      </c>
    </row>
    <row r="185" spans="1:11" ht="14" thickBot="1">
      <c r="A185" s="31"/>
      <c r="B185" s="36" t="s">
        <v>70</v>
      </c>
      <c r="C185" s="10"/>
      <c r="D185" s="20">
        <f>((FEEDERS!$D$97*3)/10+FEEDERS!$D$17)*2</f>
        <v>7959.58</v>
      </c>
      <c r="E185" s="10" t="s">
        <v>0</v>
      </c>
      <c r="F185" s="21">
        <f>+(D185*C185)/100</f>
        <v>0</v>
      </c>
      <c r="G185" s="22">
        <f>((FEEDERS!$G$97*3)/10+FEEDERS!$G$17)*2</f>
        <v>43.2</v>
      </c>
      <c r="H185" s="10" t="s">
        <v>0</v>
      </c>
      <c r="I185" s="22">
        <f>+(G185*C185)/100</f>
        <v>0</v>
      </c>
      <c r="J185" s="18">
        <f t="shared" si="14"/>
        <v>0</v>
      </c>
      <c r="K185" s="18">
        <f t="shared" si="11"/>
        <v>0</v>
      </c>
    </row>
    <row r="186" spans="1:11" ht="14" thickBot="1">
      <c r="A186" s="31" t="s">
        <v>111</v>
      </c>
      <c r="B186" s="36"/>
      <c r="C186" s="10"/>
      <c r="D186" s="20">
        <v>3000</v>
      </c>
      <c r="E186" s="10" t="s">
        <v>1</v>
      </c>
      <c r="F186" s="21">
        <f>+D186*C186</f>
        <v>0</v>
      </c>
      <c r="G186" s="22">
        <v>20</v>
      </c>
      <c r="H186" s="10" t="s">
        <v>1</v>
      </c>
      <c r="I186" s="22">
        <f>+G186*C186</f>
        <v>0</v>
      </c>
      <c r="J186" s="18">
        <f t="shared" si="14"/>
        <v>0</v>
      </c>
      <c r="K186" s="18">
        <f t="shared" si="11"/>
        <v>0</v>
      </c>
    </row>
    <row r="187" spans="1:11" ht="14" thickBot="1">
      <c r="A187" s="31"/>
      <c r="B187" s="36" t="s">
        <v>70</v>
      </c>
      <c r="C187" s="10"/>
      <c r="D187" s="20">
        <f>((FEEDERS!$D$99*3)/10+FEEDERS!$D$19)*2</f>
        <v>10787.63</v>
      </c>
      <c r="E187" s="10" t="s">
        <v>0</v>
      </c>
      <c r="F187" s="21">
        <f>+(D187*C187)/100</f>
        <v>0</v>
      </c>
      <c r="G187" s="22">
        <f>((FEEDERS!$G$99*3)/10+FEEDERS!$G$19)*2</f>
        <v>57.349999999999994</v>
      </c>
      <c r="H187" s="10" t="s">
        <v>0</v>
      </c>
      <c r="I187" s="22">
        <f>+(G187*C187)/100</f>
        <v>0</v>
      </c>
      <c r="J187" s="18">
        <f t="shared" si="14"/>
        <v>0</v>
      </c>
      <c r="K187" s="18">
        <f t="shared" si="11"/>
        <v>0</v>
      </c>
    </row>
    <row r="188" spans="1:11" ht="14" thickBot="1">
      <c r="A188" s="31" t="s">
        <v>110</v>
      </c>
      <c r="B188" s="36"/>
      <c r="C188" s="10"/>
      <c r="D188" s="20">
        <v>4000</v>
      </c>
      <c r="E188" s="10" t="s">
        <v>1</v>
      </c>
      <c r="F188" s="21">
        <f>+D188*C188</f>
        <v>0</v>
      </c>
      <c r="G188" s="22">
        <v>30</v>
      </c>
      <c r="H188" s="10" t="s">
        <v>1</v>
      </c>
      <c r="I188" s="22">
        <f>+G188*C188</f>
        <v>0</v>
      </c>
      <c r="J188" s="18">
        <f t="shared" si="14"/>
        <v>0</v>
      </c>
      <c r="K188" s="18">
        <f t="shared" si="11"/>
        <v>0</v>
      </c>
    </row>
    <row r="189" spans="1:11" ht="14" thickBot="1">
      <c r="A189" s="31"/>
      <c r="B189" s="36" t="s">
        <v>70</v>
      </c>
      <c r="C189" s="10"/>
      <c r="D189" s="20">
        <f>((FEEDERS!$D$100*3)/10+FEEDERS!$D$19)*3</f>
        <v>19017.390000000003</v>
      </c>
      <c r="E189" s="10" t="s">
        <v>0</v>
      </c>
      <c r="F189" s="21">
        <f>+(D189*C189)/100</f>
        <v>0</v>
      </c>
      <c r="G189" s="22">
        <f>((FEEDERS!$G$100*3)/10+FEEDERS!$G$19)*3</f>
        <v>89.625</v>
      </c>
      <c r="H189" s="10" t="s">
        <v>0</v>
      </c>
      <c r="I189" s="22">
        <f>+(G189*C189)/100</f>
        <v>0</v>
      </c>
      <c r="J189" s="18">
        <f t="shared" si="14"/>
        <v>0</v>
      </c>
      <c r="K189" s="18">
        <f t="shared" si="11"/>
        <v>0</v>
      </c>
    </row>
    <row r="190" spans="1:11" ht="14" thickBot="1">
      <c r="A190" s="31"/>
      <c r="B190" s="38"/>
      <c r="C190" s="10"/>
      <c r="D190" s="20"/>
      <c r="E190" s="10"/>
      <c r="F190" s="21"/>
      <c r="G190" s="22"/>
      <c r="H190" s="10"/>
      <c r="I190" s="22"/>
      <c r="J190" s="18"/>
      <c r="K190" s="18"/>
    </row>
    <row r="191" spans="1:11" ht="14" thickBot="1">
      <c r="A191" s="30" t="s">
        <v>34</v>
      </c>
      <c r="B191" s="38">
        <f>SUM(J192:J231)</f>
        <v>0</v>
      </c>
      <c r="C191" s="10"/>
      <c r="D191" s="20"/>
      <c r="E191" s="10"/>
      <c r="F191" s="21"/>
      <c r="G191" s="22"/>
      <c r="H191" s="10"/>
      <c r="I191" s="22"/>
      <c r="J191" s="18"/>
      <c r="K191" s="18"/>
    </row>
    <row r="192" spans="1:11" ht="14" thickBot="1">
      <c r="A192" s="31" t="s">
        <v>171</v>
      </c>
      <c r="B192" s="35"/>
      <c r="C192" s="10">
        <v>1</v>
      </c>
      <c r="D192" s="20">
        <f>M220</f>
        <v>0</v>
      </c>
      <c r="E192" s="10" t="s">
        <v>1</v>
      </c>
      <c r="F192" s="21">
        <f t="shared" ref="F192:F230" si="15">+D192*C192</f>
        <v>0</v>
      </c>
      <c r="G192" s="22">
        <v>0</v>
      </c>
      <c r="H192" s="10" t="s">
        <v>1</v>
      </c>
      <c r="I192" s="22">
        <f t="shared" ref="I192:I230" si="16">+G192*C192</f>
        <v>0</v>
      </c>
      <c r="J192" s="18">
        <f t="shared" ref="J192:J230" si="17">+(((I192*$I$324)+(F192*(1+$E$324)))*(1+$C$330))</f>
        <v>0</v>
      </c>
      <c r="K192" s="18">
        <f t="shared" si="11"/>
        <v>0</v>
      </c>
    </row>
    <row r="193" spans="1:13" ht="14" thickBot="1">
      <c r="A193" s="31" t="s">
        <v>168</v>
      </c>
      <c r="B193" s="35"/>
      <c r="C193" s="10"/>
      <c r="D193" s="20">
        <v>150</v>
      </c>
      <c r="E193" s="10" t="s">
        <v>1</v>
      </c>
      <c r="F193" s="21">
        <f t="shared" si="15"/>
        <v>0</v>
      </c>
      <c r="G193" s="22">
        <v>4</v>
      </c>
      <c r="H193" s="10" t="s">
        <v>1</v>
      </c>
      <c r="I193" s="22">
        <f t="shared" si="16"/>
        <v>0</v>
      </c>
      <c r="J193" s="18">
        <f t="shared" si="17"/>
        <v>0</v>
      </c>
      <c r="K193" s="18">
        <f t="shared" si="11"/>
        <v>0</v>
      </c>
      <c r="L193" s="27">
        <v>1</v>
      </c>
      <c r="M193" s="27">
        <f t="shared" ref="M193:M216" si="18">L193*C193</f>
        <v>0</v>
      </c>
    </row>
    <row r="194" spans="1:13" ht="14" thickBot="1">
      <c r="A194" s="31" t="s">
        <v>169</v>
      </c>
      <c r="B194" s="35"/>
      <c r="C194" s="10"/>
      <c r="D194" s="20">
        <v>200</v>
      </c>
      <c r="E194" s="10" t="s">
        <v>1</v>
      </c>
      <c r="F194" s="21">
        <f t="shared" si="15"/>
        <v>0</v>
      </c>
      <c r="G194" s="22">
        <v>4</v>
      </c>
      <c r="H194" s="10" t="s">
        <v>1</v>
      </c>
      <c r="I194" s="22">
        <f t="shared" si="16"/>
        <v>0</v>
      </c>
      <c r="J194" s="18">
        <f t="shared" si="17"/>
        <v>0</v>
      </c>
      <c r="K194" s="18">
        <f t="shared" si="11"/>
        <v>0</v>
      </c>
      <c r="L194" s="27">
        <v>1</v>
      </c>
      <c r="M194" s="27">
        <f t="shared" si="18"/>
        <v>0</v>
      </c>
    </row>
    <row r="195" spans="1:13" ht="14" thickBot="1">
      <c r="A195" s="29" t="s">
        <v>456</v>
      </c>
      <c r="B195" s="35"/>
      <c r="C195" s="10"/>
      <c r="D195" s="20">
        <v>510</v>
      </c>
      <c r="E195" s="10" t="s">
        <v>1</v>
      </c>
      <c r="F195" s="21">
        <f t="shared" si="15"/>
        <v>0</v>
      </c>
      <c r="G195" s="22">
        <v>4</v>
      </c>
      <c r="H195" s="10" t="s">
        <v>1</v>
      </c>
      <c r="I195" s="22">
        <f t="shared" si="16"/>
        <v>0</v>
      </c>
      <c r="J195" s="18">
        <f t="shared" si="17"/>
        <v>0</v>
      </c>
      <c r="K195" s="18">
        <f t="shared" si="11"/>
        <v>0</v>
      </c>
      <c r="L195" s="27">
        <v>1</v>
      </c>
      <c r="M195" s="27">
        <f>L195*C195</f>
        <v>0</v>
      </c>
    </row>
    <row r="196" spans="1:13" ht="14" thickBot="1">
      <c r="A196" s="29" t="s">
        <v>457</v>
      </c>
      <c r="B196" s="35"/>
      <c r="C196" s="10"/>
      <c r="D196" s="20">
        <v>575</v>
      </c>
      <c r="E196" s="10" t="s">
        <v>1</v>
      </c>
      <c r="F196" s="21">
        <f t="shared" si="15"/>
        <v>0</v>
      </c>
      <c r="G196" s="22">
        <v>4</v>
      </c>
      <c r="H196" s="10" t="s">
        <v>1</v>
      </c>
      <c r="I196" s="22">
        <f t="shared" si="16"/>
        <v>0</v>
      </c>
      <c r="J196" s="18">
        <f t="shared" si="17"/>
        <v>0</v>
      </c>
      <c r="K196" s="18">
        <f t="shared" si="11"/>
        <v>0</v>
      </c>
      <c r="L196" s="27">
        <v>1</v>
      </c>
      <c r="M196" s="27">
        <f>L196*C196</f>
        <v>0</v>
      </c>
    </row>
    <row r="197" spans="1:13" ht="14" thickBot="1">
      <c r="A197" s="29" t="s">
        <v>446</v>
      </c>
      <c r="B197" s="35"/>
      <c r="C197" s="10"/>
      <c r="D197" s="20">
        <v>250</v>
      </c>
      <c r="E197" s="10" t="s">
        <v>1</v>
      </c>
      <c r="F197" s="21">
        <f t="shared" si="15"/>
        <v>0</v>
      </c>
      <c r="G197" s="22">
        <v>4.25</v>
      </c>
      <c r="H197" s="10" t="s">
        <v>1</v>
      </c>
      <c r="I197" s="22">
        <f t="shared" si="16"/>
        <v>0</v>
      </c>
      <c r="J197" s="18">
        <f t="shared" si="17"/>
        <v>0</v>
      </c>
      <c r="K197" s="18">
        <f t="shared" si="11"/>
        <v>0</v>
      </c>
      <c r="L197" s="27">
        <v>1</v>
      </c>
      <c r="M197" s="27">
        <f>L197*C197</f>
        <v>0</v>
      </c>
    </row>
    <row r="198" spans="1:13" ht="14" thickBot="1">
      <c r="A198" s="29" t="s">
        <v>447</v>
      </c>
      <c r="B198" s="35"/>
      <c r="C198" s="10"/>
      <c r="D198" s="20">
        <v>300</v>
      </c>
      <c r="E198" s="10" t="s">
        <v>1</v>
      </c>
      <c r="F198" s="21">
        <f t="shared" si="15"/>
        <v>0</v>
      </c>
      <c r="G198" s="22">
        <v>4.25</v>
      </c>
      <c r="H198" s="10" t="s">
        <v>1</v>
      </c>
      <c r="I198" s="22">
        <f t="shared" si="16"/>
        <v>0</v>
      </c>
      <c r="J198" s="18">
        <f t="shared" si="17"/>
        <v>0</v>
      </c>
      <c r="K198" s="18">
        <f t="shared" si="11"/>
        <v>0</v>
      </c>
      <c r="L198" s="27">
        <v>1</v>
      </c>
      <c r="M198" s="27">
        <f>L198*C198</f>
        <v>0</v>
      </c>
    </row>
    <row r="199" spans="1:13" ht="14" thickBot="1">
      <c r="A199" s="31" t="s">
        <v>96</v>
      </c>
      <c r="B199" s="35"/>
      <c r="C199" s="10"/>
      <c r="D199" s="20">
        <v>185</v>
      </c>
      <c r="E199" s="10" t="s">
        <v>1</v>
      </c>
      <c r="F199" s="21">
        <f t="shared" si="15"/>
        <v>0</v>
      </c>
      <c r="G199" s="22">
        <v>3</v>
      </c>
      <c r="H199" s="10" t="s">
        <v>1</v>
      </c>
      <c r="I199" s="22">
        <f t="shared" si="16"/>
        <v>0</v>
      </c>
      <c r="J199" s="18">
        <f t="shared" si="17"/>
        <v>0</v>
      </c>
      <c r="K199" s="18">
        <f t="shared" si="11"/>
        <v>0</v>
      </c>
      <c r="L199" s="27">
        <v>1</v>
      </c>
      <c r="M199" s="27">
        <f t="shared" si="18"/>
        <v>0</v>
      </c>
    </row>
    <row r="200" spans="1:13" ht="14" thickBot="1">
      <c r="A200" s="31" t="s">
        <v>121</v>
      </c>
      <c r="B200" s="35"/>
      <c r="C200" s="10"/>
      <c r="D200" s="20">
        <v>150</v>
      </c>
      <c r="E200" s="10" t="s">
        <v>1</v>
      </c>
      <c r="F200" s="21">
        <f t="shared" si="15"/>
        <v>0</v>
      </c>
      <c r="G200" s="22">
        <v>3</v>
      </c>
      <c r="H200" s="10" t="s">
        <v>1</v>
      </c>
      <c r="I200" s="22">
        <f t="shared" si="16"/>
        <v>0</v>
      </c>
      <c r="J200" s="18">
        <f t="shared" si="17"/>
        <v>0</v>
      </c>
      <c r="K200" s="18">
        <f t="shared" si="11"/>
        <v>0</v>
      </c>
      <c r="L200" s="27">
        <v>1</v>
      </c>
      <c r="M200" s="27">
        <f t="shared" si="18"/>
        <v>0</v>
      </c>
    </row>
    <row r="201" spans="1:13" ht="14" thickBot="1">
      <c r="A201" s="31" t="s">
        <v>148</v>
      </c>
      <c r="B201" s="35"/>
      <c r="C201" s="10"/>
      <c r="D201" s="20">
        <v>150</v>
      </c>
      <c r="E201" s="10" t="s">
        <v>1</v>
      </c>
      <c r="F201" s="21">
        <f t="shared" si="15"/>
        <v>0</v>
      </c>
      <c r="G201" s="22">
        <v>3</v>
      </c>
      <c r="H201" s="10" t="s">
        <v>1</v>
      </c>
      <c r="I201" s="22">
        <f t="shared" si="16"/>
        <v>0</v>
      </c>
      <c r="J201" s="18">
        <f t="shared" si="17"/>
        <v>0</v>
      </c>
      <c r="K201" s="18">
        <f t="shared" si="11"/>
        <v>0</v>
      </c>
      <c r="L201" s="27">
        <v>1</v>
      </c>
      <c r="M201" s="27">
        <f t="shared" si="18"/>
        <v>0</v>
      </c>
    </row>
    <row r="202" spans="1:13" ht="14" thickBot="1">
      <c r="A202" s="31" t="s">
        <v>122</v>
      </c>
      <c r="B202" s="35"/>
      <c r="C202" s="10"/>
      <c r="D202" s="20">
        <v>70</v>
      </c>
      <c r="E202" s="10" t="s">
        <v>1</v>
      </c>
      <c r="F202" s="21">
        <f t="shared" si="15"/>
        <v>0</v>
      </c>
      <c r="G202" s="22">
        <v>1.25</v>
      </c>
      <c r="H202" s="10" t="s">
        <v>1</v>
      </c>
      <c r="I202" s="22">
        <f t="shared" si="16"/>
        <v>0</v>
      </c>
      <c r="J202" s="18">
        <f t="shared" si="17"/>
        <v>0</v>
      </c>
      <c r="K202" s="18">
        <f t="shared" si="11"/>
        <v>0</v>
      </c>
      <c r="L202" s="27">
        <v>1</v>
      </c>
      <c r="M202" s="27">
        <f t="shared" si="18"/>
        <v>0</v>
      </c>
    </row>
    <row r="203" spans="1:13" ht="14" thickBot="1">
      <c r="A203" s="29" t="s">
        <v>516</v>
      </c>
      <c r="B203" s="35"/>
      <c r="C203" s="10"/>
      <c r="D203" s="20">
        <v>100</v>
      </c>
      <c r="E203" s="10" t="s">
        <v>1</v>
      </c>
      <c r="F203" s="21">
        <f t="shared" si="15"/>
        <v>0</v>
      </c>
      <c r="G203" s="22">
        <v>3</v>
      </c>
      <c r="H203" s="10" t="s">
        <v>1</v>
      </c>
      <c r="I203" s="22">
        <f t="shared" si="16"/>
        <v>0</v>
      </c>
      <c r="J203" s="18">
        <f t="shared" si="17"/>
        <v>0</v>
      </c>
      <c r="K203" s="18">
        <f t="shared" si="11"/>
        <v>0</v>
      </c>
      <c r="L203" s="27">
        <v>1</v>
      </c>
      <c r="M203" s="27">
        <f t="shared" si="18"/>
        <v>0</v>
      </c>
    </row>
    <row r="204" spans="1:13" ht="14" thickBot="1">
      <c r="A204" s="29" t="s">
        <v>515</v>
      </c>
      <c r="B204" s="35"/>
      <c r="C204" s="10"/>
      <c r="D204" s="20">
        <v>100</v>
      </c>
      <c r="E204" s="10" t="s">
        <v>1</v>
      </c>
      <c r="F204" s="21">
        <f t="shared" si="15"/>
        <v>0</v>
      </c>
      <c r="G204" s="22">
        <v>3.25</v>
      </c>
      <c r="H204" s="10" t="s">
        <v>1</v>
      </c>
      <c r="I204" s="22">
        <f t="shared" si="16"/>
        <v>0</v>
      </c>
      <c r="J204" s="18">
        <f t="shared" si="17"/>
        <v>0</v>
      </c>
      <c r="K204" s="18">
        <f t="shared" si="11"/>
        <v>0</v>
      </c>
      <c r="L204" s="27">
        <v>1</v>
      </c>
      <c r="M204" s="27">
        <f t="shared" si="18"/>
        <v>0</v>
      </c>
    </row>
    <row r="205" spans="1:13" ht="14" thickBot="1">
      <c r="A205" s="29" t="s">
        <v>514</v>
      </c>
      <c r="B205" s="35"/>
      <c r="C205" s="10"/>
      <c r="D205" s="20">
        <v>100</v>
      </c>
      <c r="E205" s="10" t="s">
        <v>1</v>
      </c>
      <c r="F205" s="21">
        <f t="shared" si="15"/>
        <v>0</v>
      </c>
      <c r="G205" s="22">
        <v>2.25</v>
      </c>
      <c r="H205" s="10" t="s">
        <v>1</v>
      </c>
      <c r="I205" s="22">
        <f t="shared" si="16"/>
        <v>0</v>
      </c>
      <c r="J205" s="18">
        <f t="shared" si="17"/>
        <v>0</v>
      </c>
      <c r="K205" s="18">
        <f t="shared" si="11"/>
        <v>0</v>
      </c>
      <c r="L205" s="27">
        <v>1</v>
      </c>
      <c r="M205" s="27">
        <f t="shared" si="18"/>
        <v>0</v>
      </c>
    </row>
    <row r="206" spans="1:13" ht="14" thickBot="1">
      <c r="A206" s="29" t="s">
        <v>506</v>
      </c>
      <c r="B206" s="35"/>
      <c r="C206" s="10"/>
      <c r="D206" s="20">
        <v>50</v>
      </c>
      <c r="E206" s="10" t="s">
        <v>1</v>
      </c>
      <c r="F206" s="21">
        <f t="shared" si="15"/>
        <v>0</v>
      </c>
      <c r="G206" s="22">
        <v>1.5</v>
      </c>
      <c r="H206" s="10" t="s">
        <v>1</v>
      </c>
      <c r="I206" s="22">
        <f t="shared" si="16"/>
        <v>0</v>
      </c>
      <c r="J206" s="18">
        <f t="shared" si="17"/>
        <v>0</v>
      </c>
      <c r="K206" s="18">
        <f t="shared" si="11"/>
        <v>0</v>
      </c>
      <c r="L206" s="27">
        <v>1</v>
      </c>
      <c r="M206" s="27">
        <f t="shared" si="18"/>
        <v>0</v>
      </c>
    </row>
    <row r="207" spans="1:13" ht="14" thickBot="1">
      <c r="A207" s="29" t="s">
        <v>507</v>
      </c>
      <c r="B207" s="35"/>
      <c r="C207" s="10"/>
      <c r="D207" s="20">
        <v>50</v>
      </c>
      <c r="E207" s="10" t="s">
        <v>1</v>
      </c>
      <c r="F207" s="21">
        <f t="shared" si="15"/>
        <v>0</v>
      </c>
      <c r="G207" s="22">
        <v>1.5</v>
      </c>
      <c r="H207" s="10" t="s">
        <v>1</v>
      </c>
      <c r="I207" s="22">
        <f t="shared" si="16"/>
        <v>0</v>
      </c>
      <c r="J207" s="18">
        <f t="shared" si="17"/>
        <v>0</v>
      </c>
      <c r="K207" s="18">
        <f t="shared" si="11"/>
        <v>0</v>
      </c>
      <c r="L207" s="27">
        <v>1</v>
      </c>
      <c r="M207" s="27">
        <f t="shared" si="18"/>
        <v>0</v>
      </c>
    </row>
    <row r="208" spans="1:13" ht="14" thickBot="1">
      <c r="A208" s="29" t="s">
        <v>508</v>
      </c>
      <c r="B208" s="35"/>
      <c r="C208" s="10"/>
      <c r="D208" s="20">
        <v>50</v>
      </c>
      <c r="E208" s="10" t="s">
        <v>1</v>
      </c>
      <c r="F208" s="21">
        <f t="shared" si="15"/>
        <v>0</v>
      </c>
      <c r="G208" s="22">
        <v>2</v>
      </c>
      <c r="H208" s="10" t="s">
        <v>1</v>
      </c>
      <c r="I208" s="22">
        <f t="shared" si="16"/>
        <v>0</v>
      </c>
      <c r="J208" s="18">
        <f t="shared" si="17"/>
        <v>0</v>
      </c>
      <c r="K208" s="18">
        <f t="shared" si="11"/>
        <v>0</v>
      </c>
      <c r="L208" s="27">
        <v>1</v>
      </c>
      <c r="M208" s="27">
        <f t="shared" si="18"/>
        <v>0</v>
      </c>
    </row>
    <row r="209" spans="1:13" ht="14" thickBot="1">
      <c r="A209" s="29" t="s">
        <v>509</v>
      </c>
      <c r="B209" s="35"/>
      <c r="C209" s="10"/>
      <c r="D209" s="20">
        <v>50</v>
      </c>
      <c r="E209" s="10" t="s">
        <v>1</v>
      </c>
      <c r="F209" s="21">
        <f t="shared" si="15"/>
        <v>0</v>
      </c>
      <c r="G209" s="22">
        <v>1.5</v>
      </c>
      <c r="H209" s="10" t="s">
        <v>1</v>
      </c>
      <c r="I209" s="22">
        <f t="shared" si="16"/>
        <v>0</v>
      </c>
      <c r="J209" s="18">
        <f t="shared" si="17"/>
        <v>0</v>
      </c>
      <c r="K209" s="18">
        <f t="shared" si="11"/>
        <v>0</v>
      </c>
      <c r="L209" s="27">
        <v>1</v>
      </c>
      <c r="M209" s="27">
        <f t="shared" si="18"/>
        <v>0</v>
      </c>
    </row>
    <row r="210" spans="1:13" ht="14" thickBot="1">
      <c r="A210" s="29" t="s">
        <v>510</v>
      </c>
      <c r="B210" s="35"/>
      <c r="C210" s="10"/>
      <c r="D210" s="20">
        <v>50</v>
      </c>
      <c r="E210" s="10" t="s">
        <v>1</v>
      </c>
      <c r="F210" s="21">
        <f t="shared" si="15"/>
        <v>0</v>
      </c>
      <c r="G210" s="22">
        <v>1.5</v>
      </c>
      <c r="H210" s="10" t="s">
        <v>1</v>
      </c>
      <c r="I210" s="22">
        <f t="shared" si="16"/>
        <v>0</v>
      </c>
      <c r="J210" s="18">
        <f t="shared" si="17"/>
        <v>0</v>
      </c>
      <c r="K210" s="18">
        <f t="shared" si="11"/>
        <v>0</v>
      </c>
      <c r="L210" s="27">
        <v>1</v>
      </c>
      <c r="M210" s="27">
        <f t="shared" si="18"/>
        <v>0</v>
      </c>
    </row>
    <row r="211" spans="1:13" ht="14" thickBot="1">
      <c r="A211" s="29" t="s">
        <v>511</v>
      </c>
      <c r="B211" s="35"/>
      <c r="C211" s="10"/>
      <c r="D211" s="20">
        <v>50</v>
      </c>
      <c r="E211" s="10" t="s">
        <v>1</v>
      </c>
      <c r="F211" s="21">
        <f t="shared" si="15"/>
        <v>0</v>
      </c>
      <c r="G211" s="22">
        <v>1.5</v>
      </c>
      <c r="H211" s="10" t="s">
        <v>1</v>
      </c>
      <c r="I211" s="22">
        <f t="shared" si="16"/>
        <v>0</v>
      </c>
      <c r="J211" s="18">
        <f t="shared" si="17"/>
        <v>0</v>
      </c>
      <c r="K211" s="18">
        <f t="shared" si="11"/>
        <v>0</v>
      </c>
      <c r="L211" s="27">
        <v>1</v>
      </c>
      <c r="M211" s="27">
        <f t="shared" si="18"/>
        <v>0</v>
      </c>
    </row>
    <row r="212" spans="1:13" ht="14" thickBot="1">
      <c r="A212" s="29" t="s">
        <v>512</v>
      </c>
      <c r="B212" s="35"/>
      <c r="C212" s="10"/>
      <c r="D212" s="20">
        <v>50</v>
      </c>
      <c r="E212" s="10" t="s">
        <v>1</v>
      </c>
      <c r="F212" s="21">
        <f t="shared" si="15"/>
        <v>0</v>
      </c>
      <c r="G212" s="22">
        <v>3</v>
      </c>
      <c r="H212" s="10" t="s">
        <v>1</v>
      </c>
      <c r="I212" s="22">
        <f t="shared" si="16"/>
        <v>0</v>
      </c>
      <c r="J212" s="18">
        <f t="shared" si="17"/>
        <v>0</v>
      </c>
      <c r="K212" s="18">
        <f t="shared" si="11"/>
        <v>0</v>
      </c>
      <c r="L212" s="27">
        <v>1</v>
      </c>
      <c r="M212" s="27">
        <f t="shared" si="18"/>
        <v>0</v>
      </c>
    </row>
    <row r="213" spans="1:13" ht="14" thickBot="1">
      <c r="A213" s="29" t="s">
        <v>513</v>
      </c>
      <c r="B213" s="35"/>
      <c r="C213" s="10"/>
      <c r="D213" s="20">
        <v>50</v>
      </c>
      <c r="E213" s="10" t="s">
        <v>1</v>
      </c>
      <c r="F213" s="21">
        <f t="shared" si="15"/>
        <v>0</v>
      </c>
      <c r="G213" s="22">
        <v>3</v>
      </c>
      <c r="H213" s="10" t="s">
        <v>1</v>
      </c>
      <c r="I213" s="22">
        <f t="shared" si="16"/>
        <v>0</v>
      </c>
      <c r="J213" s="18">
        <f t="shared" si="17"/>
        <v>0</v>
      </c>
      <c r="K213" s="18">
        <f t="shared" si="11"/>
        <v>0</v>
      </c>
      <c r="L213" s="27">
        <v>1</v>
      </c>
      <c r="M213" s="27">
        <f t="shared" si="18"/>
        <v>0</v>
      </c>
    </row>
    <row r="214" spans="1:13" ht="14" thickBot="1">
      <c r="A214" s="31" t="s">
        <v>103</v>
      </c>
      <c r="B214" s="35"/>
      <c r="C214" s="10"/>
      <c r="D214" s="20">
        <v>50</v>
      </c>
      <c r="E214" s="10" t="s">
        <v>1</v>
      </c>
      <c r="F214" s="21">
        <f t="shared" si="15"/>
        <v>0</v>
      </c>
      <c r="G214" s="22">
        <v>1.5</v>
      </c>
      <c r="H214" s="10" t="s">
        <v>1</v>
      </c>
      <c r="I214" s="22">
        <f t="shared" si="16"/>
        <v>0</v>
      </c>
      <c r="J214" s="18">
        <f t="shared" si="17"/>
        <v>0</v>
      </c>
      <c r="K214" s="18">
        <f t="shared" si="11"/>
        <v>0</v>
      </c>
      <c r="L214" s="27">
        <v>1</v>
      </c>
      <c r="M214" s="27">
        <f t="shared" si="18"/>
        <v>0</v>
      </c>
    </row>
    <row r="215" spans="1:13" ht="14" thickBot="1">
      <c r="A215" s="29" t="s">
        <v>198</v>
      </c>
      <c r="B215" s="35"/>
      <c r="C215" s="10"/>
      <c r="D215" s="20">
        <v>75</v>
      </c>
      <c r="E215" s="10" t="s">
        <v>1</v>
      </c>
      <c r="F215" s="21">
        <f t="shared" si="15"/>
        <v>0</v>
      </c>
      <c r="G215" s="22">
        <v>3</v>
      </c>
      <c r="H215" s="10" t="s">
        <v>1</v>
      </c>
      <c r="I215" s="22">
        <f t="shared" si="16"/>
        <v>0</v>
      </c>
      <c r="J215" s="18">
        <f t="shared" si="17"/>
        <v>0</v>
      </c>
      <c r="K215" s="18">
        <f t="shared" ref="K215:K285" si="19">IF(J215=0,0,J215/C215)</f>
        <v>0</v>
      </c>
      <c r="L215" s="27">
        <v>1</v>
      </c>
      <c r="M215" s="27">
        <f t="shared" si="18"/>
        <v>0</v>
      </c>
    </row>
    <row r="216" spans="1:13" ht="14" thickBot="1">
      <c r="A216" s="29" t="s">
        <v>199</v>
      </c>
      <c r="B216" s="35"/>
      <c r="C216" s="10"/>
      <c r="D216" s="20">
        <v>50</v>
      </c>
      <c r="E216" s="10" t="s">
        <v>1</v>
      </c>
      <c r="F216" s="21">
        <f t="shared" si="15"/>
        <v>0</v>
      </c>
      <c r="G216" s="22">
        <v>2</v>
      </c>
      <c r="H216" s="10" t="s">
        <v>1</v>
      </c>
      <c r="I216" s="22">
        <f t="shared" si="16"/>
        <v>0</v>
      </c>
      <c r="J216" s="18">
        <f t="shared" si="17"/>
        <v>0</v>
      </c>
      <c r="K216" s="18">
        <f t="shared" si="19"/>
        <v>0</v>
      </c>
      <c r="L216" s="27">
        <v>1</v>
      </c>
      <c r="M216" s="27">
        <f t="shared" si="18"/>
        <v>0</v>
      </c>
    </row>
    <row r="217" spans="1:13" ht="14" thickBot="1">
      <c r="A217" s="31" t="s">
        <v>66</v>
      </c>
      <c r="B217" s="35"/>
      <c r="C217" s="10"/>
      <c r="D217" s="20">
        <v>185</v>
      </c>
      <c r="E217" s="10" t="s">
        <v>1</v>
      </c>
      <c r="F217" s="21">
        <f t="shared" si="15"/>
        <v>0</v>
      </c>
      <c r="G217" s="22">
        <v>3</v>
      </c>
      <c r="H217" s="10" t="s">
        <v>1</v>
      </c>
      <c r="I217" s="22">
        <f t="shared" si="16"/>
        <v>0</v>
      </c>
      <c r="J217" s="18">
        <f t="shared" si="17"/>
        <v>0</v>
      </c>
      <c r="K217" s="18">
        <f t="shared" si="19"/>
        <v>0</v>
      </c>
      <c r="L217" s="27">
        <v>1</v>
      </c>
      <c r="M217" s="27">
        <f>L217*C217</f>
        <v>0</v>
      </c>
    </row>
    <row r="218" spans="1:13" ht="14" thickBot="1">
      <c r="A218" s="31" t="s">
        <v>67</v>
      </c>
      <c r="B218" s="35"/>
      <c r="C218" s="10"/>
      <c r="D218" s="20">
        <v>50</v>
      </c>
      <c r="E218" s="10" t="s">
        <v>1</v>
      </c>
      <c r="F218" s="21">
        <f t="shared" si="15"/>
        <v>0</v>
      </c>
      <c r="G218" s="22">
        <v>3</v>
      </c>
      <c r="H218" s="10" t="s">
        <v>1</v>
      </c>
      <c r="I218" s="22">
        <f t="shared" si="16"/>
        <v>0</v>
      </c>
      <c r="J218" s="18">
        <f t="shared" si="17"/>
        <v>0</v>
      </c>
      <c r="K218" s="18">
        <f t="shared" si="19"/>
        <v>0</v>
      </c>
      <c r="L218" s="71" t="s">
        <v>172</v>
      </c>
      <c r="M218" s="72">
        <f>SUM(M193:M217)</f>
        <v>0</v>
      </c>
    </row>
    <row r="219" spans="1:13" ht="14" thickBot="1">
      <c r="A219" s="31" t="s">
        <v>88</v>
      </c>
      <c r="B219" s="35"/>
      <c r="C219" s="10"/>
      <c r="D219" s="20">
        <v>25</v>
      </c>
      <c r="E219" s="10" t="s">
        <v>1</v>
      </c>
      <c r="F219" s="21">
        <f t="shared" si="15"/>
        <v>0</v>
      </c>
      <c r="G219" s="22">
        <v>1</v>
      </c>
      <c r="H219" s="10" t="s">
        <v>1</v>
      </c>
      <c r="I219" s="22">
        <f t="shared" si="16"/>
        <v>0</v>
      </c>
      <c r="J219" s="18">
        <f t="shared" si="17"/>
        <v>0</v>
      </c>
      <c r="K219" s="18">
        <f t="shared" si="19"/>
        <v>0</v>
      </c>
      <c r="L219" s="70">
        <v>0.05</v>
      </c>
      <c r="M219" s="27">
        <f>M218*L219</f>
        <v>0</v>
      </c>
    </row>
    <row r="220" spans="1:13" ht="14" thickBot="1">
      <c r="A220" s="31" t="s">
        <v>89</v>
      </c>
      <c r="B220" s="35"/>
      <c r="C220" s="10"/>
      <c r="D220" s="20">
        <v>25</v>
      </c>
      <c r="E220" s="10" t="s">
        <v>1</v>
      </c>
      <c r="F220" s="21">
        <f t="shared" si="15"/>
        <v>0</v>
      </c>
      <c r="G220" s="22">
        <v>1.5</v>
      </c>
      <c r="H220" s="10" t="s">
        <v>1</v>
      </c>
      <c r="I220" s="22">
        <f t="shared" si="16"/>
        <v>0</v>
      </c>
      <c r="J220" s="18">
        <f t="shared" si="17"/>
        <v>0</v>
      </c>
      <c r="K220" s="18">
        <f t="shared" si="19"/>
        <v>0</v>
      </c>
      <c r="L220" s="73" t="s">
        <v>16</v>
      </c>
      <c r="M220" s="74">
        <f>M219+M218</f>
        <v>0</v>
      </c>
    </row>
    <row r="221" spans="1:13" ht="14" thickBot="1">
      <c r="A221" s="31" t="s">
        <v>166</v>
      </c>
      <c r="B221" s="35"/>
      <c r="C221" s="10"/>
      <c r="D221" s="20">
        <v>65</v>
      </c>
      <c r="E221" s="10" t="s">
        <v>1</v>
      </c>
      <c r="F221" s="21">
        <f t="shared" si="15"/>
        <v>0</v>
      </c>
      <c r="G221" s="22">
        <v>1.25</v>
      </c>
      <c r="H221" s="10" t="s">
        <v>1</v>
      </c>
      <c r="I221" s="22">
        <f t="shared" si="16"/>
        <v>0</v>
      </c>
      <c r="J221" s="18">
        <f t="shared" si="17"/>
        <v>0</v>
      </c>
      <c r="K221" s="18">
        <f t="shared" si="19"/>
        <v>0</v>
      </c>
    </row>
    <row r="222" spans="1:13" ht="14" thickBot="1">
      <c r="A222" s="31" t="s">
        <v>167</v>
      </c>
      <c r="B222" s="35"/>
      <c r="C222" s="10"/>
      <c r="D222" s="20">
        <v>140</v>
      </c>
      <c r="E222" s="10" t="s">
        <v>1</v>
      </c>
      <c r="F222" s="21">
        <f t="shared" si="15"/>
        <v>0</v>
      </c>
      <c r="G222" s="22">
        <v>1.5</v>
      </c>
      <c r="H222" s="10" t="s">
        <v>1</v>
      </c>
      <c r="I222" s="22">
        <f t="shared" si="16"/>
        <v>0</v>
      </c>
      <c r="J222" s="18">
        <f t="shared" si="17"/>
        <v>0</v>
      </c>
      <c r="K222" s="18">
        <f t="shared" si="19"/>
        <v>0</v>
      </c>
    </row>
    <row r="223" spans="1:13" ht="14" thickBot="1">
      <c r="A223" s="31" t="s">
        <v>149</v>
      </c>
      <c r="B223" s="35"/>
      <c r="C223" s="10"/>
      <c r="D223" s="20">
        <v>85</v>
      </c>
      <c r="E223" s="10" t="s">
        <v>1</v>
      </c>
      <c r="F223" s="21">
        <f t="shared" si="15"/>
        <v>0</v>
      </c>
      <c r="G223" s="22">
        <v>2</v>
      </c>
      <c r="H223" s="10" t="s">
        <v>1</v>
      </c>
      <c r="I223" s="22">
        <f t="shared" si="16"/>
        <v>0</v>
      </c>
      <c r="J223" s="18">
        <f t="shared" si="17"/>
        <v>0</v>
      </c>
      <c r="K223" s="18">
        <f t="shared" si="19"/>
        <v>0</v>
      </c>
    </row>
    <row r="224" spans="1:13" ht="14" thickBot="1">
      <c r="A224" s="29" t="s">
        <v>518</v>
      </c>
      <c r="B224" s="35"/>
      <c r="C224" s="10"/>
      <c r="D224" s="20">
        <v>55</v>
      </c>
      <c r="E224" s="10" t="s">
        <v>1</v>
      </c>
      <c r="F224" s="21">
        <f t="shared" si="15"/>
        <v>0</v>
      </c>
      <c r="G224" s="22">
        <v>0.5</v>
      </c>
      <c r="H224" s="10" t="s">
        <v>1</v>
      </c>
      <c r="I224" s="22">
        <f t="shared" si="16"/>
        <v>0</v>
      </c>
      <c r="J224" s="18">
        <f t="shared" si="17"/>
        <v>0</v>
      </c>
      <c r="K224" s="18">
        <f t="shared" si="19"/>
        <v>0</v>
      </c>
    </row>
    <row r="225" spans="1:13" ht="14" thickBot="1">
      <c r="A225" s="29" t="s">
        <v>519</v>
      </c>
      <c r="B225" s="35"/>
      <c r="C225" s="10"/>
      <c r="D225" s="20">
        <v>55</v>
      </c>
      <c r="E225" s="10" t="s">
        <v>1</v>
      </c>
      <c r="F225" s="21">
        <f t="shared" si="15"/>
        <v>0</v>
      </c>
      <c r="G225" s="22">
        <v>0.5</v>
      </c>
      <c r="H225" s="10" t="s">
        <v>1</v>
      </c>
      <c r="I225" s="22">
        <f t="shared" si="16"/>
        <v>0</v>
      </c>
      <c r="J225" s="18">
        <f t="shared" si="17"/>
        <v>0</v>
      </c>
      <c r="K225" s="18">
        <f t="shared" si="19"/>
        <v>0</v>
      </c>
    </row>
    <row r="226" spans="1:13" ht="14" thickBot="1">
      <c r="A226" s="29" t="s">
        <v>502</v>
      </c>
      <c r="B226" s="35"/>
      <c r="C226" s="10"/>
      <c r="D226" s="20">
        <v>100</v>
      </c>
      <c r="E226" s="10" t="s">
        <v>1</v>
      </c>
      <c r="F226" s="21">
        <f t="shared" si="15"/>
        <v>0</v>
      </c>
      <c r="G226" s="22">
        <v>0.5</v>
      </c>
      <c r="H226" s="10" t="s">
        <v>1</v>
      </c>
      <c r="I226" s="22">
        <f t="shared" si="16"/>
        <v>0</v>
      </c>
      <c r="J226" s="18">
        <f t="shared" si="17"/>
        <v>0</v>
      </c>
      <c r="K226" s="18">
        <f t="shared" si="19"/>
        <v>0</v>
      </c>
    </row>
    <row r="227" spans="1:13" ht="14" thickBot="1">
      <c r="A227" s="29" t="s">
        <v>503</v>
      </c>
      <c r="B227" s="35"/>
      <c r="C227" s="10"/>
      <c r="D227" s="20">
        <v>100</v>
      </c>
      <c r="E227" s="10" t="s">
        <v>1</v>
      </c>
      <c r="F227" s="21">
        <f t="shared" si="15"/>
        <v>0</v>
      </c>
      <c r="G227" s="22">
        <v>0.5</v>
      </c>
      <c r="H227" s="10" t="s">
        <v>1</v>
      </c>
      <c r="I227" s="22">
        <f t="shared" si="16"/>
        <v>0</v>
      </c>
      <c r="J227" s="18">
        <f t="shared" si="17"/>
        <v>0</v>
      </c>
      <c r="K227" s="18">
        <f t="shared" si="19"/>
        <v>0</v>
      </c>
    </row>
    <row r="228" spans="1:13" ht="14" thickBot="1">
      <c r="A228" s="29" t="s">
        <v>504</v>
      </c>
      <c r="B228" s="35"/>
      <c r="C228" s="10"/>
      <c r="D228" s="20">
        <v>100</v>
      </c>
      <c r="E228" s="10" t="s">
        <v>1</v>
      </c>
      <c r="F228" s="21">
        <f t="shared" si="15"/>
        <v>0</v>
      </c>
      <c r="G228" s="22">
        <v>0.5</v>
      </c>
      <c r="H228" s="10" t="s">
        <v>1</v>
      </c>
      <c r="I228" s="22">
        <f t="shared" si="16"/>
        <v>0</v>
      </c>
      <c r="J228" s="18">
        <f t="shared" si="17"/>
        <v>0</v>
      </c>
      <c r="K228" s="18">
        <f t="shared" si="19"/>
        <v>0</v>
      </c>
    </row>
    <row r="229" spans="1:13" ht="14" thickBot="1">
      <c r="A229" s="29" t="s">
        <v>210</v>
      </c>
      <c r="B229" s="35"/>
      <c r="C229" s="10"/>
      <c r="D229" s="20">
        <v>1200</v>
      </c>
      <c r="E229" s="10" t="s">
        <v>1</v>
      </c>
      <c r="F229" s="21">
        <f t="shared" si="15"/>
        <v>0</v>
      </c>
      <c r="G229" s="22">
        <v>6</v>
      </c>
      <c r="H229" s="10" t="s">
        <v>1</v>
      </c>
      <c r="I229" s="22">
        <f t="shared" si="16"/>
        <v>0</v>
      </c>
      <c r="J229" s="18">
        <f t="shared" si="17"/>
        <v>0</v>
      </c>
      <c r="K229" s="18">
        <f t="shared" si="19"/>
        <v>0</v>
      </c>
    </row>
    <row r="230" spans="1:13" ht="14" thickBot="1">
      <c r="A230" s="29" t="s">
        <v>520</v>
      </c>
      <c r="B230" s="35"/>
      <c r="C230" s="10"/>
      <c r="D230" s="20">
        <v>200</v>
      </c>
      <c r="E230" s="10" t="s">
        <v>1</v>
      </c>
      <c r="F230" s="21">
        <f t="shared" si="15"/>
        <v>0</v>
      </c>
      <c r="G230" s="22">
        <v>2</v>
      </c>
      <c r="H230" s="10" t="s">
        <v>1</v>
      </c>
      <c r="I230" s="22">
        <f t="shared" si="16"/>
        <v>0</v>
      </c>
      <c r="J230" s="18">
        <f t="shared" si="17"/>
        <v>0</v>
      </c>
      <c r="K230" s="18">
        <f t="shared" si="19"/>
        <v>0</v>
      </c>
    </row>
    <row r="231" spans="1:13" ht="14" thickBot="1">
      <c r="A231" s="31"/>
      <c r="B231" s="35"/>
      <c r="C231" s="10"/>
      <c r="D231" s="20"/>
      <c r="E231" s="10"/>
      <c r="F231" s="21"/>
      <c r="G231" s="22"/>
      <c r="H231" s="10"/>
      <c r="I231" s="22"/>
      <c r="J231" s="18"/>
      <c r="K231" s="18"/>
    </row>
    <row r="232" spans="1:13" ht="14" thickBot="1">
      <c r="A232" s="30" t="s">
        <v>58</v>
      </c>
      <c r="B232" s="38">
        <f>SUM(J233:J247)</f>
        <v>0</v>
      </c>
      <c r="C232" s="10"/>
      <c r="D232" s="20"/>
      <c r="E232" s="10"/>
      <c r="F232" s="21"/>
      <c r="G232" s="22"/>
      <c r="H232" s="10"/>
      <c r="I232" s="22"/>
      <c r="J232" s="18"/>
      <c r="K232" s="18"/>
    </row>
    <row r="233" spans="1:13" ht="14" thickBot="1">
      <c r="A233" s="31" t="s">
        <v>171</v>
      </c>
      <c r="B233" s="35"/>
      <c r="C233" s="10">
        <v>1</v>
      </c>
      <c r="D233" s="20">
        <f>M244</f>
        <v>0</v>
      </c>
      <c r="E233" s="10" t="s">
        <v>1</v>
      </c>
      <c r="F233" s="21">
        <f t="shared" ref="F233:F241" si="20">+D233*C233</f>
        <v>0</v>
      </c>
      <c r="G233" s="22">
        <v>0</v>
      </c>
      <c r="H233" s="10" t="s">
        <v>1</v>
      </c>
      <c r="I233" s="22">
        <f t="shared" ref="I233:I241" si="21">+G233*C233</f>
        <v>0</v>
      </c>
      <c r="J233" s="18">
        <f t="shared" ref="J233:J246" si="22">+(((I233*$I$324)+(F233*(1+$E$324)))*(1+$C$330))</f>
        <v>0</v>
      </c>
      <c r="K233" s="18">
        <f t="shared" si="19"/>
        <v>0</v>
      </c>
    </row>
    <row r="234" spans="1:13" ht="14" thickBot="1">
      <c r="A234" s="29" t="s">
        <v>450</v>
      </c>
      <c r="B234" s="35"/>
      <c r="C234" s="10"/>
      <c r="D234" s="176">
        <v>250</v>
      </c>
      <c r="E234" s="177" t="s">
        <v>1</v>
      </c>
      <c r="F234" s="178">
        <f t="shared" si="20"/>
        <v>0</v>
      </c>
      <c r="G234" s="179">
        <v>6</v>
      </c>
      <c r="H234" s="177" t="s">
        <v>1</v>
      </c>
      <c r="I234" s="179">
        <f t="shared" si="21"/>
        <v>0</v>
      </c>
      <c r="J234" s="18">
        <f t="shared" si="22"/>
        <v>0</v>
      </c>
      <c r="K234" s="18">
        <f t="shared" si="19"/>
        <v>0</v>
      </c>
      <c r="L234" s="27">
        <v>800</v>
      </c>
      <c r="M234" s="27">
        <f t="shared" ref="M234:M241" si="23">L234*C234</f>
        <v>0</v>
      </c>
    </row>
    <row r="235" spans="1:13" ht="14" thickBot="1">
      <c r="A235" s="29" t="s">
        <v>451</v>
      </c>
      <c r="B235" s="35"/>
      <c r="C235" s="10"/>
      <c r="D235" s="176">
        <v>200</v>
      </c>
      <c r="E235" s="177" t="s">
        <v>1</v>
      </c>
      <c r="F235" s="178">
        <f t="shared" si="20"/>
        <v>0</v>
      </c>
      <c r="G235" s="179">
        <v>4</v>
      </c>
      <c r="H235" s="177" t="s">
        <v>1</v>
      </c>
      <c r="I235" s="179">
        <f t="shared" si="21"/>
        <v>0</v>
      </c>
      <c r="J235" s="18">
        <f t="shared" si="22"/>
        <v>0</v>
      </c>
      <c r="K235" s="18">
        <f t="shared" si="19"/>
        <v>0</v>
      </c>
      <c r="L235" s="27">
        <v>200</v>
      </c>
      <c r="M235" s="27">
        <f t="shared" si="23"/>
        <v>0</v>
      </c>
    </row>
    <row r="236" spans="1:13" ht="14" thickBot="1">
      <c r="A236" s="29" t="s">
        <v>452</v>
      </c>
      <c r="B236" s="35"/>
      <c r="C236" s="10"/>
      <c r="D236" s="176">
        <v>200</v>
      </c>
      <c r="E236" s="177" t="s">
        <v>1</v>
      </c>
      <c r="F236" s="178">
        <f t="shared" si="20"/>
        <v>0</v>
      </c>
      <c r="G236" s="179">
        <v>8</v>
      </c>
      <c r="H236" s="177" t="s">
        <v>1</v>
      </c>
      <c r="I236" s="179">
        <f t="shared" si="21"/>
        <v>0</v>
      </c>
      <c r="J236" s="18">
        <f t="shared" si="22"/>
        <v>0</v>
      </c>
      <c r="K236" s="18">
        <f t="shared" si="19"/>
        <v>0</v>
      </c>
      <c r="L236" s="27">
        <v>1400</v>
      </c>
      <c r="M236" s="27">
        <f t="shared" si="23"/>
        <v>0</v>
      </c>
    </row>
    <row r="237" spans="1:13" ht="14" thickBot="1">
      <c r="A237" s="29" t="s">
        <v>453</v>
      </c>
      <c r="B237" s="35"/>
      <c r="C237" s="10"/>
      <c r="D237" s="176">
        <v>300</v>
      </c>
      <c r="E237" s="177" t="s">
        <v>1</v>
      </c>
      <c r="F237" s="178">
        <f t="shared" si="20"/>
        <v>0</v>
      </c>
      <c r="G237" s="179">
        <v>10</v>
      </c>
      <c r="H237" s="177" t="s">
        <v>1</v>
      </c>
      <c r="I237" s="179">
        <f t="shared" si="21"/>
        <v>0</v>
      </c>
      <c r="J237" s="18">
        <f t="shared" si="22"/>
        <v>0</v>
      </c>
      <c r="K237" s="18">
        <f t="shared" si="19"/>
        <v>0</v>
      </c>
      <c r="L237" s="27">
        <v>2250</v>
      </c>
      <c r="M237" s="27">
        <f t="shared" si="23"/>
        <v>0</v>
      </c>
    </row>
    <row r="238" spans="1:13" ht="14" thickBot="1">
      <c r="A238" s="29" t="s">
        <v>454</v>
      </c>
      <c r="B238" s="35"/>
      <c r="C238" s="10"/>
      <c r="D238" s="176">
        <v>400</v>
      </c>
      <c r="E238" s="177" t="s">
        <v>1</v>
      </c>
      <c r="F238" s="178">
        <f t="shared" si="20"/>
        <v>0</v>
      </c>
      <c r="G238" s="179">
        <v>12</v>
      </c>
      <c r="H238" s="177" t="s">
        <v>1</v>
      </c>
      <c r="I238" s="179">
        <f t="shared" si="21"/>
        <v>0</v>
      </c>
      <c r="J238" s="18">
        <f t="shared" si="22"/>
        <v>0</v>
      </c>
      <c r="K238" s="18">
        <f t="shared" si="19"/>
        <v>0</v>
      </c>
      <c r="L238" s="27">
        <v>3100</v>
      </c>
      <c r="M238" s="27">
        <f t="shared" si="23"/>
        <v>0</v>
      </c>
    </row>
    <row r="239" spans="1:13" ht="14" thickBot="1">
      <c r="A239" s="29" t="s">
        <v>455</v>
      </c>
      <c r="B239" s="35"/>
      <c r="C239" s="10"/>
      <c r="D239" s="176">
        <v>500</v>
      </c>
      <c r="E239" s="177" t="s">
        <v>1</v>
      </c>
      <c r="F239" s="178">
        <f t="shared" si="20"/>
        <v>0</v>
      </c>
      <c r="G239" s="179">
        <v>14</v>
      </c>
      <c r="H239" s="177" t="s">
        <v>1</v>
      </c>
      <c r="I239" s="179">
        <f t="shared" si="21"/>
        <v>0</v>
      </c>
      <c r="J239" s="18">
        <f t="shared" si="22"/>
        <v>0</v>
      </c>
      <c r="K239" s="18">
        <f t="shared" si="19"/>
        <v>0</v>
      </c>
      <c r="L239" s="27">
        <v>3950</v>
      </c>
      <c r="M239" s="27">
        <f t="shared" si="23"/>
        <v>0</v>
      </c>
    </row>
    <row r="240" spans="1:13" ht="14" thickBot="1">
      <c r="A240" s="31" t="s">
        <v>120</v>
      </c>
      <c r="B240" s="35"/>
      <c r="C240" s="10"/>
      <c r="D240" s="176">
        <v>200</v>
      </c>
      <c r="E240" s="177" t="s">
        <v>1</v>
      </c>
      <c r="F240" s="178">
        <f t="shared" si="20"/>
        <v>0</v>
      </c>
      <c r="G240" s="179">
        <v>8</v>
      </c>
      <c r="H240" s="177" t="s">
        <v>1</v>
      </c>
      <c r="I240" s="179">
        <f t="shared" si="21"/>
        <v>0</v>
      </c>
      <c r="J240" s="18">
        <f t="shared" si="22"/>
        <v>0</v>
      </c>
      <c r="K240" s="18">
        <f t="shared" si="19"/>
        <v>0</v>
      </c>
      <c r="L240" s="27">
        <v>400</v>
      </c>
      <c r="M240" s="27">
        <f t="shared" si="23"/>
        <v>0</v>
      </c>
    </row>
    <row r="241" spans="1:13" ht="14" thickBot="1">
      <c r="A241" s="31" t="s">
        <v>114</v>
      </c>
      <c r="B241" s="35"/>
      <c r="C241" s="10"/>
      <c r="D241" s="176">
        <v>200</v>
      </c>
      <c r="E241" s="177" t="s">
        <v>1</v>
      </c>
      <c r="F241" s="178">
        <f t="shared" si="20"/>
        <v>0</v>
      </c>
      <c r="G241" s="179">
        <v>8</v>
      </c>
      <c r="H241" s="177" t="s">
        <v>1</v>
      </c>
      <c r="I241" s="179">
        <f t="shared" si="21"/>
        <v>0</v>
      </c>
      <c r="J241" s="18">
        <f t="shared" si="22"/>
        <v>0</v>
      </c>
      <c r="K241" s="18">
        <f t="shared" si="19"/>
        <v>0</v>
      </c>
      <c r="L241" s="27">
        <v>350</v>
      </c>
      <c r="M241" s="27">
        <f t="shared" si="23"/>
        <v>0</v>
      </c>
    </row>
    <row r="242" spans="1:13" ht="14" thickBot="1">
      <c r="A242" s="31"/>
      <c r="B242" s="35" t="s">
        <v>448</v>
      </c>
      <c r="C242" s="10"/>
      <c r="D242" s="176">
        <v>750</v>
      </c>
      <c r="E242" s="177" t="s">
        <v>1</v>
      </c>
      <c r="F242" s="178">
        <f>+D242*C242</f>
        <v>0</v>
      </c>
      <c r="G242" s="179">
        <v>8</v>
      </c>
      <c r="H242" s="177" t="s">
        <v>1</v>
      </c>
      <c r="I242" s="179">
        <f>+G242*C242</f>
        <v>0</v>
      </c>
      <c r="J242" s="18">
        <f t="shared" si="22"/>
        <v>0</v>
      </c>
      <c r="K242" s="18">
        <f>IF(J242=0,0,J242/C242)</f>
        <v>0</v>
      </c>
      <c r="L242" s="71" t="s">
        <v>172</v>
      </c>
      <c r="M242" s="72">
        <f>SUM(M234:M241)</f>
        <v>0</v>
      </c>
    </row>
    <row r="243" spans="1:13" ht="14" thickBot="1">
      <c r="A243" s="31"/>
      <c r="B243" s="35" t="s">
        <v>230</v>
      </c>
      <c r="C243" s="10"/>
      <c r="D243" s="176">
        <v>5</v>
      </c>
      <c r="E243" s="177" t="s">
        <v>1</v>
      </c>
      <c r="F243" s="178">
        <f>+D243*C243</f>
        <v>0</v>
      </c>
      <c r="G243" s="179">
        <v>8</v>
      </c>
      <c r="H243" s="177" t="s">
        <v>0</v>
      </c>
      <c r="I243" s="179">
        <f>+(G243*C243)/100</f>
        <v>0</v>
      </c>
      <c r="J243" s="18">
        <f t="shared" si="22"/>
        <v>0</v>
      </c>
      <c r="K243" s="18">
        <f>IF(J243=0,0,J243/C243)</f>
        <v>0</v>
      </c>
      <c r="L243" s="70">
        <v>0.05</v>
      </c>
      <c r="M243" s="27">
        <f>M242*L243</f>
        <v>0</v>
      </c>
    </row>
    <row r="244" spans="1:13" ht="14" thickBot="1">
      <c r="A244" s="31"/>
      <c r="B244" s="35" t="s">
        <v>449</v>
      </c>
      <c r="C244" s="10"/>
      <c r="D244" s="176">
        <f>(FEEDERS!$D$86*3+FEEDERS!$D$84)/10+FEEDERS!$D$12</f>
        <v>619.22</v>
      </c>
      <c r="E244" s="177" t="s">
        <v>0</v>
      </c>
      <c r="F244" s="178">
        <f>+(D244*C244)/100</f>
        <v>0</v>
      </c>
      <c r="G244" s="179">
        <f>(FEEDERS!$G$86*3+FEEDERS!$G$84)/10+FEEDERS!$G$12</f>
        <v>9.6379999999999999</v>
      </c>
      <c r="H244" s="177" t="s">
        <v>0</v>
      </c>
      <c r="I244" s="179">
        <f>+(G244*C244)/100</f>
        <v>0</v>
      </c>
      <c r="J244" s="18">
        <f t="shared" si="22"/>
        <v>0</v>
      </c>
      <c r="K244" s="18">
        <f>IF(J244=0,0,J244/C244)</f>
        <v>0</v>
      </c>
      <c r="L244" s="73" t="s">
        <v>16</v>
      </c>
      <c r="M244" s="74">
        <f>M243+M242</f>
        <v>0</v>
      </c>
    </row>
    <row r="245" spans="1:13" ht="14" thickBot="1">
      <c r="A245" s="31" t="s">
        <v>115</v>
      </c>
      <c r="B245" s="35"/>
      <c r="C245" s="10"/>
      <c r="D245" s="176">
        <v>1200</v>
      </c>
      <c r="E245" s="177" t="s">
        <v>1</v>
      </c>
      <c r="F245" s="178">
        <f>+D245*C245</f>
        <v>0</v>
      </c>
      <c r="G245" s="179">
        <v>15</v>
      </c>
      <c r="H245" s="177" t="s">
        <v>1</v>
      </c>
      <c r="I245" s="179">
        <f>+G245*C245</f>
        <v>0</v>
      </c>
      <c r="J245" s="18">
        <f t="shared" si="22"/>
        <v>0</v>
      </c>
      <c r="K245" s="18">
        <f>IF(J245=0,0,J245/C245)</f>
        <v>0</v>
      </c>
      <c r="L245" s="172"/>
      <c r="M245" s="27"/>
    </row>
    <row r="246" spans="1:13" ht="14" thickBot="1">
      <c r="A246" s="31" t="s">
        <v>59</v>
      </c>
      <c r="B246" s="35"/>
      <c r="C246" s="10"/>
      <c r="D246" s="176">
        <v>750</v>
      </c>
      <c r="E246" s="177" t="s">
        <v>1</v>
      </c>
      <c r="F246" s="178">
        <f>+D246*C246</f>
        <v>0</v>
      </c>
      <c r="G246" s="179">
        <v>4</v>
      </c>
      <c r="H246" s="177" t="s">
        <v>1</v>
      </c>
      <c r="I246" s="179">
        <f>+G246*C246</f>
        <v>0</v>
      </c>
      <c r="J246" s="18">
        <f t="shared" si="22"/>
        <v>0</v>
      </c>
      <c r="K246" s="18">
        <f>IF(J246=0,0,J246/C246)</f>
        <v>0</v>
      </c>
      <c r="L246" s="70"/>
      <c r="M246" s="27"/>
    </row>
    <row r="247" spans="1:13" ht="14" thickBot="1">
      <c r="A247" s="31"/>
      <c r="B247" s="35"/>
      <c r="C247" s="10"/>
      <c r="D247" s="20"/>
      <c r="E247" s="10"/>
      <c r="F247" s="21"/>
      <c r="G247" s="22"/>
      <c r="H247" s="10"/>
      <c r="I247" s="22"/>
      <c r="J247" s="18"/>
      <c r="K247" s="18"/>
      <c r="L247" s="172"/>
      <c r="M247" s="27"/>
    </row>
    <row r="248" spans="1:13" ht="14" thickBot="1">
      <c r="A248" s="30" t="s">
        <v>35</v>
      </c>
      <c r="B248" s="38">
        <f>SUM(J249:J286)</f>
        <v>0</v>
      </c>
      <c r="C248" s="10"/>
      <c r="D248" s="20"/>
      <c r="E248" s="10"/>
      <c r="F248" s="21"/>
      <c r="G248" s="22"/>
      <c r="H248" s="10"/>
      <c r="I248" s="22"/>
      <c r="J248" s="18"/>
      <c r="K248" s="18"/>
    </row>
    <row r="249" spans="1:13" ht="14" thickBot="1">
      <c r="A249" s="31" t="s">
        <v>62</v>
      </c>
      <c r="B249" s="38"/>
      <c r="C249" s="10"/>
      <c r="D249" s="20">
        <v>110</v>
      </c>
      <c r="E249" s="10" t="s">
        <v>1</v>
      </c>
      <c r="F249" s="21">
        <f t="shared" ref="F249:F285" si="24">+D249*C249</f>
        <v>0</v>
      </c>
      <c r="G249" s="22">
        <v>4.5</v>
      </c>
      <c r="H249" s="10" t="s">
        <v>1</v>
      </c>
      <c r="I249" s="22">
        <f t="shared" ref="I249:I285" si="25">+G249*C249</f>
        <v>0</v>
      </c>
      <c r="J249" s="18">
        <f>+(((I249*$I$324)+(F249*(1+$E$324)))*(1+$C$330))</f>
        <v>0</v>
      </c>
      <c r="K249" s="18">
        <f t="shared" si="19"/>
        <v>0</v>
      </c>
    </row>
    <row r="250" spans="1:13" ht="14" thickBot="1">
      <c r="A250" s="31" t="s">
        <v>131</v>
      </c>
      <c r="B250" s="38"/>
      <c r="C250" s="10"/>
      <c r="D250" s="20">
        <v>75</v>
      </c>
      <c r="E250" s="10" t="s">
        <v>1</v>
      </c>
      <c r="F250" s="21">
        <f t="shared" si="24"/>
        <v>0</v>
      </c>
      <c r="G250" s="22">
        <v>4</v>
      </c>
      <c r="H250" s="10" t="s">
        <v>1</v>
      </c>
      <c r="I250" s="22">
        <f t="shared" si="25"/>
        <v>0</v>
      </c>
      <c r="J250" s="18">
        <f>+(((I250*$I$324)+(F250*(1+$E$324)))*(1+$C$330))</f>
        <v>0</v>
      </c>
      <c r="K250" s="18">
        <f t="shared" si="19"/>
        <v>0</v>
      </c>
    </row>
    <row r="251" spans="1:13" ht="14" thickBot="1">
      <c r="A251" s="31" t="s">
        <v>123</v>
      </c>
      <c r="B251" s="38"/>
      <c r="C251" s="10"/>
      <c r="D251" s="20">
        <v>85</v>
      </c>
      <c r="E251" s="10" t="s">
        <v>1</v>
      </c>
      <c r="F251" s="21">
        <f t="shared" si="24"/>
        <v>0</v>
      </c>
      <c r="G251" s="22">
        <v>4</v>
      </c>
      <c r="H251" s="10" t="s">
        <v>1</v>
      </c>
      <c r="I251" s="22">
        <f t="shared" si="25"/>
        <v>0</v>
      </c>
      <c r="J251" s="18">
        <f>+(((I251*$I$324)+(F251*(1+$E$324)))*(1+$C$330))</f>
        <v>0</v>
      </c>
      <c r="K251" s="18">
        <f t="shared" si="19"/>
        <v>0</v>
      </c>
    </row>
    <row r="252" spans="1:13" ht="14" thickBot="1">
      <c r="A252" s="31" t="s">
        <v>65</v>
      </c>
      <c r="B252" s="38"/>
      <c r="C252" s="10"/>
      <c r="D252" s="20">
        <v>70</v>
      </c>
      <c r="E252" s="10" t="s">
        <v>1</v>
      </c>
      <c r="F252" s="21">
        <f t="shared" si="24"/>
        <v>0</v>
      </c>
      <c r="G252" s="22">
        <v>2.75</v>
      </c>
      <c r="H252" s="10" t="s">
        <v>1</v>
      </c>
      <c r="I252" s="22">
        <f t="shared" si="25"/>
        <v>0</v>
      </c>
      <c r="J252" s="18">
        <f>+(((I252*$I$324)+(F252*(1+$E$324)))*(1+$C$330))</f>
        <v>0</v>
      </c>
      <c r="K252" s="18">
        <f t="shared" si="19"/>
        <v>0</v>
      </c>
    </row>
    <row r="253" spans="1:13" ht="14" thickBot="1">
      <c r="A253" s="31" t="s">
        <v>68</v>
      </c>
      <c r="B253" s="38"/>
      <c r="C253" s="10"/>
      <c r="D253" s="20">
        <v>85</v>
      </c>
      <c r="E253" s="10" t="s">
        <v>1</v>
      </c>
      <c r="F253" s="21">
        <f t="shared" si="24"/>
        <v>0</v>
      </c>
      <c r="G253" s="22">
        <v>2.75</v>
      </c>
      <c r="H253" s="10" t="s">
        <v>1</v>
      </c>
      <c r="I253" s="22">
        <f t="shared" si="25"/>
        <v>0</v>
      </c>
      <c r="J253" s="18">
        <f>+(((I253*$I$324)+(F253*(1+$E$324)))*(1+$C$330))</f>
        <v>0</v>
      </c>
      <c r="K253" s="18">
        <f t="shared" si="19"/>
        <v>0</v>
      </c>
    </row>
    <row r="254" spans="1:13" ht="14" thickBot="1">
      <c r="A254" s="31" t="s">
        <v>154</v>
      </c>
      <c r="B254" s="38"/>
      <c r="C254" s="10"/>
      <c r="D254" s="20">
        <v>125</v>
      </c>
      <c r="E254" s="10" t="s">
        <v>1</v>
      </c>
      <c r="F254" s="21">
        <f t="shared" si="24"/>
        <v>0</v>
      </c>
      <c r="G254" s="22">
        <v>4</v>
      </c>
      <c r="H254" s="10" t="s">
        <v>1</v>
      </c>
      <c r="I254" s="22">
        <f t="shared" si="25"/>
        <v>0</v>
      </c>
      <c r="J254" s="18">
        <f t="shared" ref="J254:J285" si="26">+(((I254*$I$324)+(F254*(1+$E$324)))*(1+$C$330))</f>
        <v>0</v>
      </c>
      <c r="K254" s="18">
        <f t="shared" si="19"/>
        <v>0</v>
      </c>
    </row>
    <row r="255" spans="1:13" ht="14" thickBot="1">
      <c r="A255" s="29" t="s">
        <v>189</v>
      </c>
      <c r="B255" s="38"/>
      <c r="C255" s="10"/>
      <c r="D255" s="176">
        <v>60</v>
      </c>
      <c r="E255" s="177" t="s">
        <v>1</v>
      </c>
      <c r="F255" s="178">
        <f t="shared" si="24"/>
        <v>0</v>
      </c>
      <c r="G255" s="179">
        <v>1.3</v>
      </c>
      <c r="H255" s="177" t="s">
        <v>1</v>
      </c>
      <c r="I255" s="179">
        <f t="shared" si="25"/>
        <v>0</v>
      </c>
      <c r="J255" s="18">
        <f t="shared" si="26"/>
        <v>0</v>
      </c>
      <c r="K255" s="18">
        <f t="shared" si="19"/>
        <v>0</v>
      </c>
    </row>
    <row r="256" spans="1:13" ht="14" thickBot="1">
      <c r="A256" s="29" t="s">
        <v>190</v>
      </c>
      <c r="B256" s="38"/>
      <c r="C256" s="10"/>
      <c r="D256" s="176">
        <v>75</v>
      </c>
      <c r="E256" s="177" t="s">
        <v>1</v>
      </c>
      <c r="F256" s="178">
        <f t="shared" si="24"/>
        <v>0</v>
      </c>
      <c r="G256" s="179">
        <v>2</v>
      </c>
      <c r="H256" s="177" t="s">
        <v>1</v>
      </c>
      <c r="I256" s="179">
        <f t="shared" si="25"/>
        <v>0</v>
      </c>
      <c r="J256" s="18">
        <f t="shared" si="26"/>
        <v>0</v>
      </c>
      <c r="K256" s="18">
        <f t="shared" si="19"/>
        <v>0</v>
      </c>
    </row>
    <row r="257" spans="1:11" ht="14" thickBot="1">
      <c r="A257" s="29" t="s">
        <v>191</v>
      </c>
      <c r="B257" s="38"/>
      <c r="C257" s="10"/>
      <c r="D257" s="176">
        <v>70</v>
      </c>
      <c r="E257" s="177" t="s">
        <v>1</v>
      </c>
      <c r="F257" s="178">
        <f t="shared" si="24"/>
        <v>0</v>
      </c>
      <c r="G257" s="179">
        <v>1.5</v>
      </c>
      <c r="H257" s="177" t="s">
        <v>1</v>
      </c>
      <c r="I257" s="179">
        <f t="shared" si="25"/>
        <v>0</v>
      </c>
      <c r="J257" s="18">
        <f t="shared" si="26"/>
        <v>0</v>
      </c>
      <c r="K257" s="18">
        <f t="shared" si="19"/>
        <v>0</v>
      </c>
    </row>
    <row r="258" spans="1:11" ht="14" thickBot="1">
      <c r="A258" s="29" t="s">
        <v>192</v>
      </c>
      <c r="B258" s="38"/>
      <c r="C258" s="10"/>
      <c r="D258" s="176">
        <v>300</v>
      </c>
      <c r="E258" s="177" t="s">
        <v>1</v>
      </c>
      <c r="F258" s="178">
        <f t="shared" si="24"/>
        <v>0</v>
      </c>
      <c r="G258" s="179">
        <v>2.5</v>
      </c>
      <c r="H258" s="177" t="s">
        <v>1</v>
      </c>
      <c r="I258" s="179">
        <f t="shared" si="25"/>
        <v>0</v>
      </c>
      <c r="J258" s="18">
        <f t="shared" si="26"/>
        <v>0</v>
      </c>
      <c r="K258" s="18">
        <f t="shared" si="19"/>
        <v>0</v>
      </c>
    </row>
    <row r="259" spans="1:11" ht="14" thickBot="1">
      <c r="A259" s="29" t="s">
        <v>100</v>
      </c>
      <c r="B259" s="38"/>
      <c r="C259" s="10"/>
      <c r="D259" s="20">
        <v>450</v>
      </c>
      <c r="E259" s="10" t="s">
        <v>1</v>
      </c>
      <c r="F259" s="21">
        <f t="shared" si="24"/>
        <v>0</v>
      </c>
      <c r="G259" s="22">
        <v>4</v>
      </c>
      <c r="H259" s="10" t="s">
        <v>1</v>
      </c>
      <c r="I259" s="22">
        <f t="shared" si="25"/>
        <v>0</v>
      </c>
      <c r="J259" s="18">
        <f t="shared" si="26"/>
        <v>0</v>
      </c>
      <c r="K259" s="18">
        <f t="shared" si="19"/>
        <v>0</v>
      </c>
    </row>
    <row r="260" spans="1:11" ht="14" thickBot="1">
      <c r="A260" s="31" t="s">
        <v>101</v>
      </c>
      <c r="B260" s="38"/>
      <c r="C260" s="10"/>
      <c r="D260" s="20">
        <v>175</v>
      </c>
      <c r="E260" s="10" t="s">
        <v>1</v>
      </c>
      <c r="F260" s="21">
        <f t="shared" si="24"/>
        <v>0</v>
      </c>
      <c r="G260" s="22">
        <v>3.5</v>
      </c>
      <c r="H260" s="10" t="s">
        <v>1</v>
      </c>
      <c r="I260" s="22">
        <f t="shared" si="25"/>
        <v>0</v>
      </c>
      <c r="J260" s="18">
        <f t="shared" si="26"/>
        <v>0</v>
      </c>
      <c r="K260" s="18">
        <f t="shared" si="19"/>
        <v>0</v>
      </c>
    </row>
    <row r="261" spans="1:11" ht="14" thickBot="1">
      <c r="A261" s="29" t="s">
        <v>193</v>
      </c>
      <c r="B261" s="38"/>
      <c r="C261" s="10"/>
      <c r="D261" s="20">
        <v>55</v>
      </c>
      <c r="E261" s="10" t="s">
        <v>1</v>
      </c>
      <c r="F261" s="21">
        <f t="shared" si="24"/>
        <v>0</v>
      </c>
      <c r="G261" s="22">
        <v>1.5</v>
      </c>
      <c r="H261" s="10" t="s">
        <v>1</v>
      </c>
      <c r="I261" s="22">
        <f t="shared" si="25"/>
        <v>0</v>
      </c>
      <c r="J261" s="18">
        <f t="shared" si="26"/>
        <v>0</v>
      </c>
      <c r="K261" s="18">
        <f t="shared" si="19"/>
        <v>0</v>
      </c>
    </row>
    <row r="262" spans="1:11" ht="14" thickBot="1">
      <c r="A262" s="29" t="s">
        <v>194</v>
      </c>
      <c r="B262" s="38"/>
      <c r="C262" s="10"/>
      <c r="D262" s="20">
        <v>60</v>
      </c>
      <c r="E262" s="10" t="s">
        <v>1</v>
      </c>
      <c r="F262" s="21">
        <f t="shared" si="24"/>
        <v>0</v>
      </c>
      <c r="G262" s="22">
        <v>1.5</v>
      </c>
      <c r="H262" s="10" t="s">
        <v>1</v>
      </c>
      <c r="I262" s="22">
        <f t="shared" si="25"/>
        <v>0</v>
      </c>
      <c r="J262" s="18">
        <f t="shared" si="26"/>
        <v>0</v>
      </c>
      <c r="K262" s="18">
        <f t="shared" si="19"/>
        <v>0</v>
      </c>
    </row>
    <row r="263" spans="1:11" ht="14" thickBot="1">
      <c r="A263" s="29" t="s">
        <v>195</v>
      </c>
      <c r="B263" s="38"/>
      <c r="C263" s="10"/>
      <c r="D263" s="20">
        <v>60</v>
      </c>
      <c r="E263" s="10" t="s">
        <v>1</v>
      </c>
      <c r="F263" s="21">
        <f t="shared" si="24"/>
        <v>0</v>
      </c>
      <c r="G263" s="22">
        <v>1.5</v>
      </c>
      <c r="H263" s="10" t="s">
        <v>1</v>
      </c>
      <c r="I263" s="22">
        <f t="shared" si="25"/>
        <v>0</v>
      </c>
      <c r="J263" s="18">
        <f t="shared" si="26"/>
        <v>0</v>
      </c>
      <c r="K263" s="18">
        <f t="shared" si="19"/>
        <v>0</v>
      </c>
    </row>
    <row r="264" spans="1:11" ht="14" thickBot="1">
      <c r="A264" s="29" t="s">
        <v>196</v>
      </c>
      <c r="B264" s="38"/>
      <c r="C264" s="10"/>
      <c r="D264" s="20">
        <v>40</v>
      </c>
      <c r="E264" s="10" t="s">
        <v>1</v>
      </c>
      <c r="F264" s="21">
        <f t="shared" si="24"/>
        <v>0</v>
      </c>
      <c r="G264" s="22">
        <v>1.5</v>
      </c>
      <c r="H264" s="10" t="s">
        <v>1</v>
      </c>
      <c r="I264" s="22">
        <f t="shared" si="25"/>
        <v>0</v>
      </c>
      <c r="J264" s="18">
        <f t="shared" si="26"/>
        <v>0</v>
      </c>
      <c r="K264" s="18">
        <f t="shared" si="19"/>
        <v>0</v>
      </c>
    </row>
    <row r="265" spans="1:11" ht="14" thickBot="1">
      <c r="A265" s="31" t="s">
        <v>125</v>
      </c>
      <c r="B265" s="38"/>
      <c r="C265" s="10"/>
      <c r="D265" s="20">
        <v>60</v>
      </c>
      <c r="E265" s="10" t="s">
        <v>1</v>
      </c>
      <c r="F265" s="21">
        <f t="shared" si="24"/>
        <v>0</v>
      </c>
      <c r="G265" s="22">
        <v>2.25</v>
      </c>
      <c r="H265" s="10" t="s">
        <v>1</v>
      </c>
      <c r="I265" s="22">
        <f t="shared" si="25"/>
        <v>0</v>
      </c>
      <c r="J265" s="18">
        <f t="shared" si="26"/>
        <v>0</v>
      </c>
      <c r="K265" s="18">
        <f t="shared" si="19"/>
        <v>0</v>
      </c>
    </row>
    <row r="266" spans="1:11" ht="14" thickBot="1">
      <c r="A266" s="31" t="s">
        <v>127</v>
      </c>
      <c r="B266" s="38"/>
      <c r="C266" s="10"/>
      <c r="D266" s="20">
        <v>85</v>
      </c>
      <c r="E266" s="10" t="s">
        <v>1</v>
      </c>
      <c r="F266" s="21">
        <f t="shared" si="24"/>
        <v>0</v>
      </c>
      <c r="G266" s="22">
        <v>2.25</v>
      </c>
      <c r="H266" s="10" t="s">
        <v>1</v>
      </c>
      <c r="I266" s="22">
        <f t="shared" si="25"/>
        <v>0</v>
      </c>
      <c r="J266" s="18">
        <f t="shared" si="26"/>
        <v>0</v>
      </c>
      <c r="K266" s="18">
        <f t="shared" si="19"/>
        <v>0</v>
      </c>
    </row>
    <row r="267" spans="1:11" ht="14" thickBot="1">
      <c r="A267" s="31" t="s">
        <v>126</v>
      </c>
      <c r="B267" s="38"/>
      <c r="C267" s="10"/>
      <c r="D267" s="20">
        <v>60</v>
      </c>
      <c r="E267" s="10" t="s">
        <v>1</v>
      </c>
      <c r="F267" s="21">
        <f t="shared" si="24"/>
        <v>0</v>
      </c>
      <c r="G267" s="22">
        <v>2.25</v>
      </c>
      <c r="H267" s="10" t="s">
        <v>1</v>
      </c>
      <c r="I267" s="22">
        <f t="shared" si="25"/>
        <v>0</v>
      </c>
      <c r="J267" s="18">
        <f t="shared" si="26"/>
        <v>0</v>
      </c>
      <c r="K267" s="18">
        <f t="shared" si="19"/>
        <v>0</v>
      </c>
    </row>
    <row r="268" spans="1:11" ht="14" thickBot="1">
      <c r="A268" s="31" t="s">
        <v>150</v>
      </c>
      <c r="B268" s="38"/>
      <c r="C268" s="10"/>
      <c r="D268" s="20">
        <v>85</v>
      </c>
      <c r="E268" s="10" t="s">
        <v>1</v>
      </c>
      <c r="F268" s="21">
        <f t="shared" si="24"/>
        <v>0</v>
      </c>
      <c r="G268" s="22">
        <v>2.5</v>
      </c>
      <c r="H268" s="10" t="s">
        <v>1</v>
      </c>
      <c r="I268" s="22">
        <f t="shared" si="25"/>
        <v>0</v>
      </c>
      <c r="J268" s="18">
        <f t="shared" si="26"/>
        <v>0</v>
      </c>
      <c r="K268" s="18">
        <f t="shared" si="19"/>
        <v>0</v>
      </c>
    </row>
    <row r="269" spans="1:11" ht="14" thickBot="1">
      <c r="A269" s="31" t="s">
        <v>130</v>
      </c>
      <c r="B269" s="38"/>
      <c r="C269" s="10"/>
      <c r="D269" s="20">
        <v>230</v>
      </c>
      <c r="E269" s="10" t="s">
        <v>1</v>
      </c>
      <c r="F269" s="21">
        <f t="shared" si="24"/>
        <v>0</v>
      </c>
      <c r="G269" s="22">
        <v>8</v>
      </c>
      <c r="H269" s="10" t="s">
        <v>1</v>
      </c>
      <c r="I269" s="22">
        <f t="shared" si="25"/>
        <v>0</v>
      </c>
      <c r="J269" s="18">
        <f t="shared" si="26"/>
        <v>0</v>
      </c>
      <c r="K269" s="18">
        <f t="shared" si="19"/>
        <v>0</v>
      </c>
    </row>
    <row r="270" spans="1:11" ht="14" thickBot="1">
      <c r="A270" s="29" t="s">
        <v>521</v>
      </c>
      <c r="B270" s="38"/>
      <c r="C270" s="10"/>
      <c r="D270" s="20">
        <v>150</v>
      </c>
      <c r="E270" s="10" t="s">
        <v>1</v>
      </c>
      <c r="F270" s="21">
        <f>+D270*C270</f>
        <v>0</v>
      </c>
      <c r="G270" s="22">
        <v>2.5</v>
      </c>
      <c r="H270" s="10" t="s">
        <v>1</v>
      </c>
      <c r="I270" s="22">
        <f>+G270*C270</f>
        <v>0</v>
      </c>
      <c r="J270" s="18">
        <f t="shared" si="26"/>
        <v>0</v>
      </c>
      <c r="K270" s="18">
        <f t="shared" si="19"/>
        <v>0</v>
      </c>
    </row>
    <row r="271" spans="1:11" ht="14" thickBot="1">
      <c r="A271" s="29" t="s">
        <v>197</v>
      </c>
      <c r="B271" s="38"/>
      <c r="C271" s="10"/>
      <c r="D271" s="176">
        <v>40</v>
      </c>
      <c r="E271" s="177" t="s">
        <v>1</v>
      </c>
      <c r="F271" s="178">
        <f t="shared" si="24"/>
        <v>0</v>
      </c>
      <c r="G271" s="179">
        <v>1.25</v>
      </c>
      <c r="H271" s="177" t="s">
        <v>1</v>
      </c>
      <c r="I271" s="179">
        <f t="shared" si="25"/>
        <v>0</v>
      </c>
      <c r="J271" s="18">
        <f t="shared" si="26"/>
        <v>0</v>
      </c>
      <c r="K271" s="18">
        <f t="shared" si="19"/>
        <v>0</v>
      </c>
    </row>
    <row r="272" spans="1:11" ht="14" thickBot="1">
      <c r="A272" s="29" t="s">
        <v>292</v>
      </c>
      <c r="B272" s="38"/>
      <c r="C272" s="10"/>
      <c r="D272" s="176">
        <v>75</v>
      </c>
      <c r="E272" s="177" t="s">
        <v>1</v>
      </c>
      <c r="F272" s="178">
        <f>+D272*C272</f>
        <v>0</v>
      </c>
      <c r="G272" s="179">
        <v>2.5</v>
      </c>
      <c r="H272" s="177" t="s">
        <v>1</v>
      </c>
      <c r="I272" s="179">
        <f>+G272*C272</f>
        <v>0</v>
      </c>
      <c r="J272" s="18">
        <f t="shared" si="26"/>
        <v>0</v>
      </c>
      <c r="K272" s="18">
        <f>IF(J272=0,0,J272/C272)</f>
        <v>0</v>
      </c>
    </row>
    <row r="273" spans="1:11" ht="14" thickBot="1">
      <c r="A273" s="29" t="s">
        <v>290</v>
      </c>
      <c r="B273" s="38"/>
      <c r="C273" s="10"/>
      <c r="D273" s="176">
        <v>60</v>
      </c>
      <c r="E273" s="177" t="s">
        <v>1</v>
      </c>
      <c r="F273" s="178">
        <f t="shared" si="24"/>
        <v>0</v>
      </c>
      <c r="G273" s="179">
        <v>1.75</v>
      </c>
      <c r="H273" s="177" t="s">
        <v>1</v>
      </c>
      <c r="I273" s="179">
        <f t="shared" si="25"/>
        <v>0</v>
      </c>
      <c r="J273" s="18">
        <f t="shared" si="26"/>
        <v>0</v>
      </c>
      <c r="K273" s="18">
        <f t="shared" si="19"/>
        <v>0</v>
      </c>
    </row>
    <row r="274" spans="1:11" ht="14" thickBot="1">
      <c r="A274" s="29" t="s">
        <v>291</v>
      </c>
      <c r="B274" s="38"/>
      <c r="C274" s="10"/>
      <c r="D274" s="176">
        <v>115</v>
      </c>
      <c r="E274" s="177" t="s">
        <v>1</v>
      </c>
      <c r="F274" s="178">
        <f>+D274*C274</f>
        <v>0</v>
      </c>
      <c r="G274" s="179">
        <v>3.5</v>
      </c>
      <c r="H274" s="177" t="s">
        <v>1</v>
      </c>
      <c r="I274" s="179">
        <f>+G274*C274</f>
        <v>0</v>
      </c>
      <c r="J274" s="18">
        <f t="shared" si="26"/>
        <v>0</v>
      </c>
      <c r="K274" s="18">
        <f>IF(J274=0,0,J274/C274)</f>
        <v>0</v>
      </c>
    </row>
    <row r="275" spans="1:11" ht="14" thickBot="1">
      <c r="A275" s="29" t="s">
        <v>188</v>
      </c>
      <c r="B275" s="38"/>
      <c r="C275" s="10"/>
      <c r="D275" s="176">
        <v>375</v>
      </c>
      <c r="E275" s="177" t="s">
        <v>1</v>
      </c>
      <c r="F275" s="178">
        <f>+D275*C275</f>
        <v>0</v>
      </c>
      <c r="G275" s="179">
        <v>3.5</v>
      </c>
      <c r="H275" s="177" t="s">
        <v>1</v>
      </c>
      <c r="I275" s="179">
        <f>+G275*C275</f>
        <v>0</v>
      </c>
      <c r="J275" s="18">
        <f t="shared" si="26"/>
        <v>0</v>
      </c>
      <c r="K275" s="18">
        <f t="shared" si="19"/>
        <v>0</v>
      </c>
    </row>
    <row r="276" spans="1:11" ht="14" thickBot="1">
      <c r="A276" s="29" t="s">
        <v>430</v>
      </c>
      <c r="B276" s="38"/>
      <c r="C276" s="10"/>
      <c r="D276" s="176">
        <v>425</v>
      </c>
      <c r="E276" s="177" t="s">
        <v>1</v>
      </c>
      <c r="F276" s="178">
        <f>+D276*C276</f>
        <v>0</v>
      </c>
      <c r="G276" s="179">
        <v>4.5</v>
      </c>
      <c r="H276" s="177" t="s">
        <v>1</v>
      </c>
      <c r="I276" s="179">
        <f>+G276*C276</f>
        <v>0</v>
      </c>
      <c r="J276" s="18">
        <f t="shared" si="26"/>
        <v>0</v>
      </c>
      <c r="K276" s="18">
        <f>IF(J276=0,0,J276/C276)</f>
        <v>0</v>
      </c>
    </row>
    <row r="277" spans="1:11" ht="14" thickBot="1">
      <c r="A277" s="31" t="s">
        <v>98</v>
      </c>
      <c r="B277" s="38"/>
      <c r="C277" s="10"/>
      <c r="D277" s="20">
        <v>400</v>
      </c>
      <c r="E277" s="10" t="s">
        <v>1</v>
      </c>
      <c r="F277" s="21">
        <f t="shared" si="24"/>
        <v>0</v>
      </c>
      <c r="G277" s="22">
        <v>3.5</v>
      </c>
      <c r="H277" s="10" t="s">
        <v>1</v>
      </c>
      <c r="I277" s="22">
        <f t="shared" si="25"/>
        <v>0</v>
      </c>
      <c r="J277" s="18">
        <f t="shared" si="26"/>
        <v>0</v>
      </c>
      <c r="K277" s="18">
        <f t="shared" si="19"/>
        <v>0</v>
      </c>
    </row>
    <row r="278" spans="1:11" ht="14" thickBot="1">
      <c r="A278" s="31" t="s">
        <v>99</v>
      </c>
      <c r="B278" s="38"/>
      <c r="C278" s="10"/>
      <c r="D278" s="20">
        <v>200</v>
      </c>
      <c r="E278" s="10" t="s">
        <v>1</v>
      </c>
      <c r="F278" s="21">
        <f t="shared" si="24"/>
        <v>0</v>
      </c>
      <c r="G278" s="22">
        <v>3</v>
      </c>
      <c r="H278" s="10" t="s">
        <v>1</v>
      </c>
      <c r="I278" s="22">
        <f t="shared" si="25"/>
        <v>0</v>
      </c>
      <c r="J278" s="18">
        <f t="shared" si="26"/>
        <v>0</v>
      </c>
      <c r="K278" s="18">
        <f t="shared" si="19"/>
        <v>0</v>
      </c>
    </row>
    <row r="279" spans="1:11" ht="14" thickBot="1">
      <c r="A279" s="31" t="s">
        <v>102</v>
      </c>
      <c r="B279" s="38"/>
      <c r="C279" s="10"/>
      <c r="D279" s="20">
        <v>250</v>
      </c>
      <c r="E279" s="10" t="s">
        <v>1</v>
      </c>
      <c r="F279" s="21">
        <f t="shared" si="24"/>
        <v>0</v>
      </c>
      <c r="G279" s="22">
        <v>6</v>
      </c>
      <c r="H279" s="10" t="s">
        <v>1</v>
      </c>
      <c r="I279" s="22">
        <f t="shared" si="25"/>
        <v>0</v>
      </c>
      <c r="J279" s="18">
        <f t="shared" si="26"/>
        <v>0</v>
      </c>
      <c r="K279" s="18">
        <f t="shared" si="19"/>
        <v>0</v>
      </c>
    </row>
    <row r="280" spans="1:11" ht="14" thickBot="1">
      <c r="A280" s="31" t="s">
        <v>146</v>
      </c>
      <c r="B280" s="38"/>
      <c r="C280" s="10"/>
      <c r="D280" s="20">
        <v>30</v>
      </c>
      <c r="E280" s="10" t="s">
        <v>1</v>
      </c>
      <c r="F280" s="21">
        <f t="shared" si="24"/>
        <v>0</v>
      </c>
      <c r="G280" s="22">
        <v>0.1</v>
      </c>
      <c r="H280" s="10" t="s">
        <v>1</v>
      </c>
      <c r="I280" s="22">
        <f t="shared" si="25"/>
        <v>0</v>
      </c>
      <c r="J280" s="18">
        <f t="shared" si="26"/>
        <v>0</v>
      </c>
      <c r="K280" s="18">
        <f t="shared" si="19"/>
        <v>0</v>
      </c>
    </row>
    <row r="281" spans="1:11" ht="14" thickBot="1">
      <c r="A281" s="62" t="s">
        <v>151</v>
      </c>
      <c r="B281" s="38"/>
      <c r="C281" s="10"/>
      <c r="D281" s="20">
        <v>400</v>
      </c>
      <c r="E281" s="10" t="s">
        <v>1</v>
      </c>
      <c r="F281" s="21">
        <f t="shared" si="24"/>
        <v>0</v>
      </c>
      <c r="G281" s="22">
        <v>7.5</v>
      </c>
      <c r="H281" s="10" t="s">
        <v>1</v>
      </c>
      <c r="I281" s="22">
        <f t="shared" si="25"/>
        <v>0</v>
      </c>
      <c r="J281" s="18">
        <f t="shared" si="26"/>
        <v>0</v>
      </c>
      <c r="K281" s="18">
        <f t="shared" si="19"/>
        <v>0</v>
      </c>
    </row>
    <row r="282" spans="1:11" ht="14" thickBot="1">
      <c r="A282" s="62" t="s">
        <v>124</v>
      </c>
      <c r="B282" s="38"/>
      <c r="C282" s="10"/>
      <c r="D282" s="20">
        <v>350</v>
      </c>
      <c r="E282" s="10" t="s">
        <v>1</v>
      </c>
      <c r="F282" s="21">
        <f>+D282*C282</f>
        <v>0</v>
      </c>
      <c r="G282" s="22">
        <v>4</v>
      </c>
      <c r="H282" s="10" t="s">
        <v>1</v>
      </c>
      <c r="I282" s="22">
        <f>+G282*C282</f>
        <v>0</v>
      </c>
      <c r="J282" s="18">
        <f t="shared" si="26"/>
        <v>0</v>
      </c>
      <c r="K282" s="18">
        <f t="shared" si="19"/>
        <v>0</v>
      </c>
    </row>
    <row r="283" spans="1:11" ht="14" thickBot="1">
      <c r="A283" s="75" t="s">
        <v>183</v>
      </c>
      <c r="B283" s="38"/>
      <c r="C283" s="10"/>
      <c r="D283" s="20">
        <v>100</v>
      </c>
      <c r="E283" s="10" t="s">
        <v>1</v>
      </c>
      <c r="F283" s="21">
        <f>+D283*C283</f>
        <v>0</v>
      </c>
      <c r="G283" s="22">
        <v>1</v>
      </c>
      <c r="H283" s="10" t="s">
        <v>1</v>
      </c>
      <c r="I283" s="22">
        <f>+G283*C283</f>
        <v>0</v>
      </c>
      <c r="J283" s="18">
        <f t="shared" si="26"/>
        <v>0</v>
      </c>
      <c r="K283" s="18">
        <f t="shared" si="19"/>
        <v>0</v>
      </c>
    </row>
    <row r="284" spans="1:11" ht="14" thickBot="1">
      <c r="A284" s="75" t="s">
        <v>185</v>
      </c>
      <c r="B284" s="38"/>
      <c r="C284" s="10"/>
      <c r="D284" s="20">
        <v>100</v>
      </c>
      <c r="E284" s="10" t="s">
        <v>1</v>
      </c>
      <c r="F284" s="21">
        <f>+D284*C284</f>
        <v>0</v>
      </c>
      <c r="G284" s="22">
        <v>1</v>
      </c>
      <c r="H284" s="10" t="s">
        <v>1</v>
      </c>
      <c r="I284" s="22">
        <f>+G284*C284</f>
        <v>0</v>
      </c>
      <c r="J284" s="18">
        <f t="shared" si="26"/>
        <v>0</v>
      </c>
      <c r="K284" s="18">
        <f t="shared" si="19"/>
        <v>0</v>
      </c>
    </row>
    <row r="285" spans="1:11" ht="14" thickBot="1">
      <c r="A285" s="75" t="s">
        <v>184</v>
      </c>
      <c r="B285" s="38"/>
      <c r="C285" s="10"/>
      <c r="D285" s="20">
        <v>500</v>
      </c>
      <c r="E285" s="10" t="s">
        <v>1</v>
      </c>
      <c r="F285" s="21">
        <f t="shared" si="24"/>
        <v>0</v>
      </c>
      <c r="G285" s="22">
        <v>1.5</v>
      </c>
      <c r="H285" s="10" t="s">
        <v>1</v>
      </c>
      <c r="I285" s="22">
        <f t="shared" si="25"/>
        <v>0</v>
      </c>
      <c r="J285" s="18">
        <f t="shared" si="26"/>
        <v>0</v>
      </c>
      <c r="K285" s="18">
        <f t="shared" si="19"/>
        <v>0</v>
      </c>
    </row>
    <row r="286" spans="1:11" ht="14" thickBot="1">
      <c r="A286" s="31"/>
      <c r="B286" s="35"/>
      <c r="C286" s="10"/>
      <c r="D286" s="20"/>
      <c r="E286" s="10"/>
      <c r="F286" s="21"/>
      <c r="G286" s="22"/>
      <c r="H286" s="10"/>
      <c r="I286" s="22"/>
      <c r="J286" s="18"/>
      <c r="K286" s="18"/>
    </row>
    <row r="287" spans="1:11" ht="14" thickBot="1">
      <c r="A287" s="30" t="s">
        <v>36</v>
      </c>
      <c r="B287" s="38">
        <f>SUM(J288:J296)</f>
        <v>0</v>
      </c>
      <c r="C287" s="10"/>
      <c r="D287" s="20"/>
      <c r="E287" s="10"/>
      <c r="F287" s="21"/>
      <c r="G287" s="22"/>
      <c r="H287" s="10"/>
      <c r="I287" s="22"/>
      <c r="J287" s="18"/>
      <c r="K287" s="18"/>
    </row>
    <row r="288" spans="1:11" ht="14" thickBot="1">
      <c r="A288" s="31" t="s">
        <v>173</v>
      </c>
      <c r="B288" s="36"/>
      <c r="C288" s="10"/>
      <c r="D288" s="20">
        <f>FEEDERS!$D$63</f>
        <v>440.1</v>
      </c>
      <c r="E288" s="10" t="s">
        <v>0</v>
      </c>
      <c r="F288" s="21">
        <f>+(D288*C288)/100</f>
        <v>0</v>
      </c>
      <c r="G288" s="22">
        <f>FEEDERS!$G$63</f>
        <v>6.6449999999999996</v>
      </c>
      <c r="H288" s="10" t="s">
        <v>0</v>
      </c>
      <c r="I288" s="22">
        <f t="shared" ref="I288:I294" si="27">+(G288*C288)/100</f>
        <v>0</v>
      </c>
      <c r="J288" s="18">
        <f t="shared" ref="J288:J294" si="28">+(((I288*$I$324)+(F288*(1+$E$324)))*(1+$C$330))</f>
        <v>0</v>
      </c>
      <c r="K288" s="18">
        <f t="shared" ref="K288:K321" si="29">IF(J288=0,0,J288/C288)</f>
        <v>0</v>
      </c>
    </row>
    <row r="289" spans="1:11" ht="14" thickBot="1">
      <c r="A289" s="31" t="s">
        <v>128</v>
      </c>
      <c r="B289" s="36"/>
      <c r="C289" s="10"/>
      <c r="D289" s="20">
        <f>FEEDERS!$D$67</f>
        <v>1027.2</v>
      </c>
      <c r="E289" s="10" t="s">
        <v>0</v>
      </c>
      <c r="F289" s="21">
        <f>+(D289*C289)/100</f>
        <v>0</v>
      </c>
      <c r="G289" s="22">
        <f>FEEDERS!$G$67</f>
        <v>11.63</v>
      </c>
      <c r="H289" s="10" t="s">
        <v>0</v>
      </c>
      <c r="I289" s="22">
        <f>+(G289*C289)/100</f>
        <v>0</v>
      </c>
      <c r="J289" s="18">
        <f t="shared" si="28"/>
        <v>0</v>
      </c>
      <c r="K289" s="18">
        <f t="shared" si="29"/>
        <v>0</v>
      </c>
    </row>
    <row r="290" spans="1:11" ht="14" thickBot="1">
      <c r="A290" s="31" t="s">
        <v>92</v>
      </c>
      <c r="B290" s="36"/>
      <c r="C290" s="10"/>
      <c r="D290" s="20">
        <f>FEEDERS!$D$68</f>
        <v>1444.8</v>
      </c>
      <c r="E290" s="10" t="s">
        <v>0</v>
      </c>
      <c r="F290" s="21">
        <f>+(D290*C290)/100</f>
        <v>0</v>
      </c>
      <c r="G290" s="22">
        <f>FEEDERS!$G$68</f>
        <v>13.47</v>
      </c>
      <c r="H290" s="10" t="s">
        <v>0</v>
      </c>
      <c r="I290" s="22">
        <f t="shared" si="27"/>
        <v>0</v>
      </c>
      <c r="J290" s="18">
        <f t="shared" si="28"/>
        <v>0</v>
      </c>
      <c r="K290" s="18">
        <f t="shared" si="29"/>
        <v>0</v>
      </c>
    </row>
    <row r="291" spans="1:11" ht="14" thickBot="1">
      <c r="A291" s="31" t="s">
        <v>129</v>
      </c>
      <c r="B291" s="36"/>
      <c r="C291" s="10"/>
      <c r="D291" s="20">
        <f>FEEDERS!$D$67*2</f>
        <v>2054.4</v>
      </c>
      <c r="E291" s="10" t="s">
        <v>0</v>
      </c>
      <c r="F291" s="21">
        <f>+(D291*C291)/100</f>
        <v>0</v>
      </c>
      <c r="G291" s="22">
        <f>FEEDERS!$G$67*2</f>
        <v>23.26</v>
      </c>
      <c r="H291" s="10" t="s">
        <v>0</v>
      </c>
      <c r="I291" s="22">
        <f>+(G291*C291)/100</f>
        <v>0</v>
      </c>
      <c r="J291" s="18">
        <f t="shared" si="28"/>
        <v>0</v>
      </c>
      <c r="K291" s="18">
        <f t="shared" si="29"/>
        <v>0</v>
      </c>
    </row>
    <row r="292" spans="1:11" ht="14" thickBot="1">
      <c r="A292" s="31" t="s">
        <v>93</v>
      </c>
      <c r="B292" s="36"/>
      <c r="C292" s="10"/>
      <c r="D292" s="20">
        <f>FEEDERS!$D$68*2</f>
        <v>2889.6</v>
      </c>
      <c r="E292" s="10" t="s">
        <v>0</v>
      </c>
      <c r="F292" s="21">
        <f>+(D292*C292)/100</f>
        <v>0</v>
      </c>
      <c r="G292" s="22">
        <f>FEEDERS!$G$68*2</f>
        <v>26.94</v>
      </c>
      <c r="H292" s="10" t="s">
        <v>0</v>
      </c>
      <c r="I292" s="22">
        <f>+(G292*C292)/100</f>
        <v>0</v>
      </c>
      <c r="J292" s="18">
        <f t="shared" si="28"/>
        <v>0</v>
      </c>
      <c r="K292" s="18">
        <f t="shared" si="29"/>
        <v>0</v>
      </c>
    </row>
    <row r="293" spans="1:11" ht="14" thickBot="1">
      <c r="A293" s="31" t="s">
        <v>91</v>
      </c>
      <c r="B293" s="36"/>
      <c r="C293" s="10"/>
      <c r="D293" s="20">
        <v>2</v>
      </c>
      <c r="E293" s="10" t="s">
        <v>1</v>
      </c>
      <c r="F293" s="21">
        <f>+D293*C293</f>
        <v>0</v>
      </c>
      <c r="G293" s="22">
        <v>8</v>
      </c>
      <c r="H293" s="10" t="s">
        <v>0</v>
      </c>
      <c r="I293" s="22">
        <f t="shared" si="27"/>
        <v>0</v>
      </c>
      <c r="J293" s="18">
        <f t="shared" si="28"/>
        <v>0</v>
      </c>
      <c r="K293" s="18">
        <f t="shared" si="29"/>
        <v>0</v>
      </c>
    </row>
    <row r="294" spans="1:11" ht="14" thickBot="1">
      <c r="A294" s="31" t="s">
        <v>164</v>
      </c>
      <c r="B294" s="36"/>
      <c r="C294" s="10"/>
      <c r="D294" s="20">
        <v>500</v>
      </c>
      <c r="E294" s="10" t="s">
        <v>0</v>
      </c>
      <c r="F294" s="21">
        <f>+(D294*C294)/100</f>
        <v>0</v>
      </c>
      <c r="G294" s="22">
        <v>3</v>
      </c>
      <c r="H294" s="10" t="s">
        <v>0</v>
      </c>
      <c r="I294" s="22">
        <f t="shared" si="27"/>
        <v>0</v>
      </c>
      <c r="J294" s="18">
        <f t="shared" si="28"/>
        <v>0</v>
      </c>
      <c r="K294" s="18">
        <f t="shared" si="29"/>
        <v>0</v>
      </c>
    </row>
    <row r="295" spans="1:11" ht="14" thickBot="1">
      <c r="A295" s="31"/>
      <c r="B295" s="36"/>
      <c r="C295" s="10"/>
      <c r="D295" s="20"/>
      <c r="E295" s="10"/>
      <c r="F295" s="21"/>
      <c r="G295" s="22"/>
      <c r="H295" s="10"/>
      <c r="I295" s="22"/>
      <c r="J295" s="18"/>
      <c r="K295" s="18"/>
    </row>
    <row r="296" spans="1:11" ht="14" thickBot="1">
      <c r="A296" s="30" t="s">
        <v>117</v>
      </c>
      <c r="B296" s="38">
        <f>SUM(J297:J298)</f>
        <v>0</v>
      </c>
      <c r="C296" s="10"/>
      <c r="D296" s="20"/>
      <c r="E296" s="10"/>
      <c r="F296" s="21"/>
      <c r="G296" s="22"/>
      <c r="H296" s="10"/>
      <c r="I296" s="22"/>
      <c r="J296" s="18"/>
      <c r="K296" s="18"/>
    </row>
    <row r="297" spans="1:11" ht="14" thickBot="1">
      <c r="A297" s="31" t="s">
        <v>116</v>
      </c>
      <c r="B297" s="36"/>
      <c r="C297" s="10"/>
      <c r="D297" s="20">
        <v>110</v>
      </c>
      <c r="E297" s="10" t="s">
        <v>1</v>
      </c>
      <c r="F297" s="21">
        <f>+D297*C297</f>
        <v>0</v>
      </c>
      <c r="G297" s="22">
        <v>3</v>
      </c>
      <c r="H297" s="10" t="s">
        <v>1</v>
      </c>
      <c r="I297" s="22">
        <f>+G297*C297</f>
        <v>0</v>
      </c>
      <c r="J297" s="18">
        <f>+(((I297*$I$324)+(F297*(1+$E$324)))*(1+$C$330))</f>
        <v>0</v>
      </c>
      <c r="K297" s="18">
        <f t="shared" si="29"/>
        <v>0</v>
      </c>
    </row>
    <row r="298" spans="1:11" ht="14" thickBot="1">
      <c r="A298" s="31" t="s">
        <v>119</v>
      </c>
      <c r="B298" s="36"/>
      <c r="C298" s="10"/>
      <c r="D298" s="20">
        <v>300</v>
      </c>
      <c r="E298" s="10" t="s">
        <v>1</v>
      </c>
      <c r="F298" s="21">
        <f>+D298*C298</f>
        <v>0</v>
      </c>
      <c r="G298" s="22">
        <v>4</v>
      </c>
      <c r="H298" s="10" t="s">
        <v>1</v>
      </c>
      <c r="I298" s="22">
        <f>+G298*C298</f>
        <v>0</v>
      </c>
      <c r="J298" s="18">
        <f>+(((I298*$I$324)+(F298*(1+$E$324)))*(1+$C$330))</f>
        <v>0</v>
      </c>
      <c r="K298" s="18">
        <f t="shared" si="29"/>
        <v>0</v>
      </c>
    </row>
    <row r="299" spans="1:11" ht="14" thickBot="1">
      <c r="A299" s="31"/>
      <c r="B299" s="35"/>
      <c r="C299" s="10"/>
      <c r="D299" s="20"/>
      <c r="E299" s="10"/>
      <c r="F299" s="21"/>
      <c r="G299" s="22"/>
      <c r="H299" s="10"/>
      <c r="I299" s="22"/>
      <c r="J299" s="18"/>
      <c r="K299" s="18"/>
    </row>
    <row r="300" spans="1:11" ht="14" thickBot="1">
      <c r="A300" s="30" t="s">
        <v>118</v>
      </c>
      <c r="B300" s="38">
        <f>SUM(J301:J312)</f>
        <v>0</v>
      </c>
      <c r="C300" s="10"/>
      <c r="D300" s="20"/>
      <c r="E300" s="10"/>
      <c r="F300" s="21"/>
      <c r="G300" s="22"/>
      <c r="H300" s="10"/>
      <c r="I300" s="22"/>
      <c r="J300" s="18"/>
      <c r="K300" s="18"/>
    </row>
    <row r="301" spans="1:11" ht="14" thickBot="1">
      <c r="A301" s="31" t="s">
        <v>30</v>
      </c>
      <c r="B301" s="36"/>
      <c r="C301" s="10"/>
      <c r="D301" s="20">
        <v>3500</v>
      </c>
      <c r="E301" s="10" t="s">
        <v>1</v>
      </c>
      <c r="F301" s="21">
        <f t="shared" ref="F301:F311" si="30">+D301*C301</f>
        <v>0</v>
      </c>
      <c r="G301" s="22">
        <v>20</v>
      </c>
      <c r="H301" s="10" t="s">
        <v>1</v>
      </c>
      <c r="I301" s="22">
        <f t="shared" ref="I301:I311" si="31">+G301*C301</f>
        <v>0</v>
      </c>
      <c r="J301" s="18">
        <f t="shared" ref="J301:J311" si="32">+(((I301*$I$324)+(F301*(1+$E$324)))*(1+$C$330))</f>
        <v>0</v>
      </c>
      <c r="K301" s="18">
        <f t="shared" si="29"/>
        <v>0</v>
      </c>
    </row>
    <row r="302" spans="1:11" ht="14" thickBot="1">
      <c r="A302" s="29" t="s">
        <v>186</v>
      </c>
      <c r="B302" s="36"/>
      <c r="C302" s="10"/>
      <c r="D302" s="20">
        <v>2500</v>
      </c>
      <c r="E302" s="10" t="s">
        <v>1</v>
      </c>
      <c r="F302" s="21">
        <f>+D302*C302</f>
        <v>0</v>
      </c>
      <c r="G302" s="22">
        <v>25</v>
      </c>
      <c r="H302" s="10" t="s">
        <v>1</v>
      </c>
      <c r="I302" s="22">
        <f>+G302*C302</f>
        <v>0</v>
      </c>
      <c r="J302" s="18">
        <f t="shared" si="32"/>
        <v>0</v>
      </c>
      <c r="K302" s="18">
        <f t="shared" si="29"/>
        <v>0</v>
      </c>
    </row>
    <row r="303" spans="1:11" ht="14" thickBot="1">
      <c r="A303" s="31" t="s">
        <v>147</v>
      </c>
      <c r="B303" s="36"/>
      <c r="C303" s="10"/>
      <c r="D303" s="20">
        <v>20</v>
      </c>
      <c r="E303" s="10" t="s">
        <v>1</v>
      </c>
      <c r="F303" s="21">
        <f t="shared" si="30"/>
        <v>0</v>
      </c>
      <c r="G303" s="22">
        <v>1</v>
      </c>
      <c r="H303" s="10" t="s">
        <v>1</v>
      </c>
      <c r="I303" s="22">
        <f t="shared" si="31"/>
        <v>0</v>
      </c>
      <c r="J303" s="18">
        <f t="shared" si="32"/>
        <v>0</v>
      </c>
      <c r="K303" s="18">
        <f t="shared" si="29"/>
        <v>0</v>
      </c>
    </row>
    <row r="304" spans="1:11" ht="14" thickBot="1">
      <c r="A304" s="31" t="s">
        <v>31</v>
      </c>
      <c r="B304" s="36"/>
      <c r="C304" s="10"/>
      <c r="D304" s="20">
        <v>400</v>
      </c>
      <c r="E304" s="10" t="s">
        <v>1</v>
      </c>
      <c r="F304" s="21">
        <f t="shared" si="30"/>
        <v>0</v>
      </c>
      <c r="G304" s="22">
        <v>4</v>
      </c>
      <c r="H304" s="10" t="s">
        <v>1</v>
      </c>
      <c r="I304" s="22">
        <f t="shared" si="31"/>
        <v>0</v>
      </c>
      <c r="J304" s="18">
        <f t="shared" si="32"/>
        <v>0</v>
      </c>
      <c r="K304" s="18">
        <f t="shared" si="29"/>
        <v>0</v>
      </c>
    </row>
    <row r="305" spans="1:11" ht="14" thickBot="1">
      <c r="A305" s="31" t="s">
        <v>94</v>
      </c>
      <c r="B305" s="36"/>
      <c r="C305" s="10"/>
      <c r="D305" s="20">
        <v>200</v>
      </c>
      <c r="E305" s="10" t="s">
        <v>1</v>
      </c>
      <c r="F305" s="21">
        <f t="shared" si="30"/>
        <v>0</v>
      </c>
      <c r="G305" s="22">
        <v>3.5</v>
      </c>
      <c r="H305" s="10" t="s">
        <v>1</v>
      </c>
      <c r="I305" s="22">
        <f t="shared" si="31"/>
        <v>0</v>
      </c>
      <c r="J305" s="18">
        <f t="shared" si="32"/>
        <v>0</v>
      </c>
      <c r="K305" s="18">
        <f t="shared" si="29"/>
        <v>0</v>
      </c>
    </row>
    <row r="306" spans="1:11" ht="14" thickBot="1">
      <c r="A306" s="31" t="s">
        <v>95</v>
      </c>
      <c r="B306" s="36"/>
      <c r="C306" s="10"/>
      <c r="D306" s="20">
        <v>200</v>
      </c>
      <c r="E306" s="10" t="s">
        <v>1</v>
      </c>
      <c r="F306" s="21">
        <f t="shared" si="30"/>
        <v>0</v>
      </c>
      <c r="G306" s="22">
        <v>3.5</v>
      </c>
      <c r="H306" s="10" t="s">
        <v>1</v>
      </c>
      <c r="I306" s="22">
        <f t="shared" si="31"/>
        <v>0</v>
      </c>
      <c r="J306" s="18">
        <f t="shared" si="32"/>
        <v>0</v>
      </c>
      <c r="K306" s="18">
        <f t="shared" si="29"/>
        <v>0</v>
      </c>
    </row>
    <row r="307" spans="1:11" ht="14" thickBot="1">
      <c r="A307" s="31" t="s">
        <v>37</v>
      </c>
      <c r="B307" s="36"/>
      <c r="C307" s="10"/>
      <c r="D307" s="20">
        <v>200</v>
      </c>
      <c r="E307" s="10" t="s">
        <v>1</v>
      </c>
      <c r="F307" s="21">
        <f t="shared" si="30"/>
        <v>0</v>
      </c>
      <c r="G307" s="22">
        <v>3.5</v>
      </c>
      <c r="H307" s="10" t="s">
        <v>1</v>
      </c>
      <c r="I307" s="22">
        <f t="shared" si="31"/>
        <v>0</v>
      </c>
      <c r="J307" s="18">
        <f t="shared" si="32"/>
        <v>0</v>
      </c>
      <c r="K307" s="18">
        <f t="shared" si="29"/>
        <v>0</v>
      </c>
    </row>
    <row r="308" spans="1:11" ht="14" thickBot="1">
      <c r="A308" s="31" t="s">
        <v>38</v>
      </c>
      <c r="B308" s="36"/>
      <c r="C308" s="10"/>
      <c r="D308" s="20">
        <v>600</v>
      </c>
      <c r="E308" s="10" t="s">
        <v>1</v>
      </c>
      <c r="F308" s="21">
        <f t="shared" si="30"/>
        <v>0</v>
      </c>
      <c r="G308" s="22">
        <v>4</v>
      </c>
      <c r="H308" s="10" t="s">
        <v>1</v>
      </c>
      <c r="I308" s="22">
        <f t="shared" si="31"/>
        <v>0</v>
      </c>
      <c r="J308" s="18">
        <f t="shared" si="32"/>
        <v>0</v>
      </c>
      <c r="K308" s="18">
        <f t="shared" si="29"/>
        <v>0</v>
      </c>
    </row>
    <row r="309" spans="1:11" ht="14" thickBot="1">
      <c r="A309" s="31" t="s">
        <v>32</v>
      </c>
      <c r="B309" s="36"/>
      <c r="C309" s="10"/>
      <c r="D309" s="20">
        <v>200</v>
      </c>
      <c r="E309" s="10" t="s">
        <v>1</v>
      </c>
      <c r="F309" s="21">
        <f t="shared" si="30"/>
        <v>0</v>
      </c>
      <c r="G309" s="22">
        <v>3</v>
      </c>
      <c r="H309" s="10" t="s">
        <v>1</v>
      </c>
      <c r="I309" s="22">
        <f t="shared" si="31"/>
        <v>0</v>
      </c>
      <c r="J309" s="18">
        <f t="shared" si="32"/>
        <v>0</v>
      </c>
      <c r="K309" s="18">
        <f t="shared" si="29"/>
        <v>0</v>
      </c>
    </row>
    <row r="310" spans="1:11" ht="14" thickBot="1">
      <c r="A310" s="31" t="s">
        <v>60</v>
      </c>
      <c r="B310" s="36"/>
      <c r="C310" s="10"/>
      <c r="D310" s="20">
        <v>250</v>
      </c>
      <c r="E310" s="10" t="s">
        <v>1</v>
      </c>
      <c r="F310" s="21">
        <f t="shared" si="30"/>
        <v>0</v>
      </c>
      <c r="G310" s="22">
        <v>2</v>
      </c>
      <c r="H310" s="10" t="s">
        <v>1</v>
      </c>
      <c r="I310" s="22">
        <f t="shared" si="31"/>
        <v>0</v>
      </c>
      <c r="J310" s="18">
        <f t="shared" si="32"/>
        <v>0</v>
      </c>
      <c r="K310" s="18">
        <f t="shared" si="29"/>
        <v>0</v>
      </c>
    </row>
    <row r="311" spans="1:11" ht="14" thickBot="1">
      <c r="A311" s="31" t="s">
        <v>104</v>
      </c>
      <c r="B311" s="36"/>
      <c r="C311" s="10"/>
      <c r="D311" s="20">
        <v>600</v>
      </c>
      <c r="E311" s="10" t="s">
        <v>1</v>
      </c>
      <c r="F311" s="21">
        <f t="shared" si="30"/>
        <v>0</v>
      </c>
      <c r="G311" s="22">
        <v>2</v>
      </c>
      <c r="H311" s="10" t="s">
        <v>1</v>
      </c>
      <c r="I311" s="22">
        <f t="shared" si="31"/>
        <v>0</v>
      </c>
      <c r="J311" s="18">
        <f t="shared" si="32"/>
        <v>0</v>
      </c>
      <c r="K311" s="18">
        <f t="shared" si="29"/>
        <v>0</v>
      </c>
    </row>
    <row r="312" spans="1:11" ht="14" thickBot="1">
      <c r="A312" s="31"/>
      <c r="B312" s="36"/>
      <c r="C312" s="10"/>
      <c r="D312" s="20"/>
      <c r="E312" s="10"/>
      <c r="F312" s="21"/>
      <c r="G312" s="22"/>
      <c r="H312" s="10"/>
      <c r="I312" s="22"/>
      <c r="J312" s="18"/>
      <c r="K312" s="18"/>
    </row>
    <row r="313" spans="1:11" ht="14" thickBot="1">
      <c r="A313" s="30" t="s">
        <v>20</v>
      </c>
      <c r="B313" s="38">
        <f>SUM(J314:J321)</f>
        <v>0</v>
      </c>
      <c r="C313" s="10"/>
      <c r="D313" s="20"/>
      <c r="E313" s="10"/>
      <c r="F313" s="21"/>
      <c r="G313" s="22"/>
      <c r="H313" s="10"/>
      <c r="I313" s="22"/>
      <c r="J313" s="18"/>
      <c r="K313" s="18"/>
    </row>
    <row r="314" spans="1:11" ht="14" thickBot="1">
      <c r="A314" s="29" t="s">
        <v>27</v>
      </c>
      <c r="B314" s="34"/>
      <c r="C314" s="10"/>
      <c r="D314" s="20">
        <v>3000</v>
      </c>
      <c r="E314" s="10" t="s">
        <v>83</v>
      </c>
      <c r="F314" s="21">
        <f t="shared" ref="F314:F320" si="33">+D314*C314</f>
        <v>0</v>
      </c>
      <c r="G314" s="22">
        <v>40</v>
      </c>
      <c r="H314" s="10" t="s">
        <v>83</v>
      </c>
      <c r="I314" s="22">
        <f t="shared" ref="I314:I320" si="34">+G314*C314</f>
        <v>0</v>
      </c>
      <c r="J314" s="18">
        <f t="shared" ref="J314:J321" si="35">+(((I314*$I$324)+(F314*(1+$E$324)))*(1+$C$330))</f>
        <v>0</v>
      </c>
      <c r="K314" s="18">
        <f t="shared" si="29"/>
        <v>0</v>
      </c>
    </row>
    <row r="315" spans="1:11" ht="14" thickBot="1">
      <c r="A315" s="29" t="s">
        <v>182</v>
      </c>
      <c r="B315" s="34"/>
      <c r="C315" s="10"/>
      <c r="D315" s="20">
        <v>1000</v>
      </c>
      <c r="E315" s="10" t="s">
        <v>83</v>
      </c>
      <c r="F315" s="21">
        <f t="shared" si="33"/>
        <v>0</v>
      </c>
      <c r="G315" s="22">
        <v>20</v>
      </c>
      <c r="H315" s="10" t="s">
        <v>83</v>
      </c>
      <c r="I315" s="22">
        <f t="shared" si="34"/>
        <v>0</v>
      </c>
      <c r="J315" s="18">
        <f t="shared" si="35"/>
        <v>0</v>
      </c>
      <c r="K315" s="18">
        <f t="shared" si="29"/>
        <v>0</v>
      </c>
    </row>
    <row r="316" spans="1:11" ht="14" thickBot="1">
      <c r="A316" s="29" t="s">
        <v>208</v>
      </c>
      <c r="B316" s="34"/>
      <c r="C316" s="10"/>
      <c r="D316" s="20">
        <v>15</v>
      </c>
      <c r="E316" s="10" t="s">
        <v>83</v>
      </c>
      <c r="F316" s="21">
        <f t="shared" si="33"/>
        <v>0</v>
      </c>
      <c r="G316" s="22">
        <v>1.25</v>
      </c>
      <c r="H316" s="10" t="s">
        <v>83</v>
      </c>
      <c r="I316" s="22">
        <f t="shared" si="34"/>
        <v>0</v>
      </c>
      <c r="J316" s="18">
        <f t="shared" si="35"/>
        <v>0</v>
      </c>
      <c r="K316" s="18">
        <f>IF(J316=0,0,J316/C316)</f>
        <v>0</v>
      </c>
    </row>
    <row r="317" spans="1:11" ht="14" thickBot="1">
      <c r="A317" s="29" t="s">
        <v>207</v>
      </c>
      <c r="B317" s="34"/>
      <c r="C317" s="10"/>
      <c r="D317" s="20">
        <v>20</v>
      </c>
      <c r="E317" s="10" t="s">
        <v>83</v>
      </c>
      <c r="F317" s="21">
        <f t="shared" si="33"/>
        <v>0</v>
      </c>
      <c r="G317" s="22">
        <v>1</v>
      </c>
      <c r="H317" s="10" t="s">
        <v>83</v>
      </c>
      <c r="I317" s="22">
        <f t="shared" si="34"/>
        <v>0</v>
      </c>
      <c r="J317" s="18">
        <f t="shared" si="35"/>
        <v>0</v>
      </c>
      <c r="K317" s="18">
        <f t="shared" si="29"/>
        <v>0</v>
      </c>
    </row>
    <row r="318" spans="1:11" ht="14" thickBot="1">
      <c r="A318" s="29" t="s">
        <v>209</v>
      </c>
      <c r="B318" s="34"/>
      <c r="C318" s="10"/>
      <c r="D318" s="20">
        <f>I323/40*100</f>
        <v>10.536249999999999</v>
      </c>
      <c r="E318" s="10" t="s">
        <v>83</v>
      </c>
      <c r="F318" s="21">
        <f t="shared" si="33"/>
        <v>0</v>
      </c>
      <c r="G318" s="22">
        <v>0</v>
      </c>
      <c r="H318" s="10" t="s">
        <v>83</v>
      </c>
      <c r="I318" s="22">
        <f t="shared" si="34"/>
        <v>0</v>
      </c>
      <c r="J318" s="18">
        <f t="shared" si="35"/>
        <v>0</v>
      </c>
      <c r="K318" s="18">
        <f>IF(J318=0,0,J318/C318)</f>
        <v>0</v>
      </c>
    </row>
    <row r="319" spans="1:11" ht="14" thickBot="1">
      <c r="A319" s="29" t="s">
        <v>28</v>
      </c>
      <c r="B319" s="34"/>
      <c r="C319" s="10"/>
      <c r="D319" s="20">
        <v>1000</v>
      </c>
      <c r="E319" s="10" t="s">
        <v>83</v>
      </c>
      <c r="F319" s="21">
        <f t="shared" si="33"/>
        <v>0</v>
      </c>
      <c r="G319" s="22">
        <v>40</v>
      </c>
      <c r="H319" s="10" t="s">
        <v>83</v>
      </c>
      <c r="I319" s="22">
        <f t="shared" si="34"/>
        <v>0</v>
      </c>
      <c r="J319" s="18">
        <f t="shared" si="35"/>
        <v>0</v>
      </c>
      <c r="K319" s="18">
        <f t="shared" si="29"/>
        <v>0</v>
      </c>
    </row>
    <row r="320" spans="1:11" ht="14" thickBot="1">
      <c r="A320" s="32" t="s">
        <v>29</v>
      </c>
      <c r="B320" s="37"/>
      <c r="C320" s="23"/>
      <c r="D320" s="24">
        <v>5000</v>
      </c>
      <c r="E320" s="10" t="s">
        <v>83</v>
      </c>
      <c r="F320" s="21">
        <f t="shared" si="33"/>
        <v>0</v>
      </c>
      <c r="G320" s="22"/>
      <c r="H320" s="10" t="s">
        <v>83</v>
      </c>
      <c r="I320" s="22">
        <f t="shared" si="34"/>
        <v>0</v>
      </c>
      <c r="J320" s="18">
        <f t="shared" si="35"/>
        <v>0</v>
      </c>
      <c r="K320" s="18">
        <f t="shared" si="29"/>
        <v>0</v>
      </c>
    </row>
    <row r="321" spans="1:11" ht="14" thickBot="1">
      <c r="A321" s="29"/>
      <c r="B321" s="34"/>
      <c r="C321" s="10"/>
      <c r="D321" s="20"/>
      <c r="E321" s="10"/>
      <c r="F321" s="21"/>
      <c r="G321" s="25"/>
      <c r="H321" s="10"/>
      <c r="I321" s="22"/>
      <c r="J321" s="18">
        <f t="shared" si="35"/>
        <v>0</v>
      </c>
      <c r="K321" s="18">
        <f t="shared" si="29"/>
        <v>0</v>
      </c>
    </row>
    <row r="322" spans="1:11">
      <c r="A322" s="2"/>
      <c r="B322" s="42">
        <f>SUM(B11:B321)</f>
        <v>600.58381250000002</v>
      </c>
      <c r="C322" s="1"/>
      <c r="D322" s="3"/>
      <c r="E322" s="1"/>
      <c r="F322" s="3"/>
      <c r="G322" s="4"/>
      <c r="H322" s="1"/>
      <c r="I322" s="4"/>
      <c r="J322" s="19">
        <f>SUM(J12:J320)</f>
        <v>600.58381250000002</v>
      </c>
    </row>
    <row r="323" spans="1:11">
      <c r="A323" s="2" t="s">
        <v>2</v>
      </c>
      <c r="B323" s="2"/>
      <c r="C323" s="1"/>
      <c r="D323" s="3"/>
      <c r="E323" s="2"/>
      <c r="F323" s="3">
        <f>SUM(F9:F321)</f>
        <v>170.125</v>
      </c>
      <c r="G323" s="4"/>
      <c r="H323" s="2"/>
      <c r="I323" s="4">
        <f>SUM(I9:I321)</f>
        <v>4.2145000000000001</v>
      </c>
    </row>
    <row r="324" spans="1:11" ht="14" thickBot="1">
      <c r="A324" s="2" t="s">
        <v>3</v>
      </c>
      <c r="B324" s="2"/>
      <c r="C324" s="1"/>
      <c r="D324" s="3"/>
      <c r="E324" s="7">
        <v>0.10249999999999999</v>
      </c>
      <c r="F324" s="5">
        <f>+F323*E324</f>
        <v>17.4378125</v>
      </c>
      <c r="G324" s="4"/>
      <c r="H324" s="2"/>
      <c r="I324" s="5">
        <v>98</v>
      </c>
    </row>
    <row r="325" spans="1:11">
      <c r="A325" s="2"/>
      <c r="B325" s="2"/>
      <c r="C325" s="1"/>
      <c r="D325" s="2"/>
      <c r="E325" s="2"/>
      <c r="F325" s="3">
        <f>SUM(F323:F324)</f>
        <v>187.56281250000001</v>
      </c>
      <c r="G325" s="4"/>
      <c r="H325" s="2"/>
      <c r="I325" s="6">
        <f>I323*I324</f>
        <v>413.02100000000002</v>
      </c>
    </row>
    <row r="326" spans="1:11">
      <c r="A326" s="2"/>
      <c r="B326" s="2"/>
      <c r="C326" s="1"/>
      <c r="D326" s="2"/>
      <c r="E326" s="2"/>
      <c r="F326" s="2"/>
      <c r="G326" s="2"/>
      <c r="H326" s="2"/>
      <c r="I326" s="2"/>
    </row>
    <row r="327" spans="1:11">
      <c r="A327" s="2" t="s">
        <v>13</v>
      </c>
      <c r="B327" s="2"/>
      <c r="C327" s="1"/>
      <c r="D327" s="3">
        <f>F325</f>
        <v>187.56281250000001</v>
      </c>
      <c r="E327" s="2"/>
      <c r="F327" s="2">
        <v>828520</v>
      </c>
      <c r="G327" s="9" t="s">
        <v>81</v>
      </c>
      <c r="H327" s="2"/>
      <c r="I327" s="2"/>
    </row>
    <row r="328" spans="1:11">
      <c r="A328" s="2" t="s">
        <v>14</v>
      </c>
      <c r="B328" s="2"/>
      <c r="C328" s="1"/>
      <c r="D328" s="8">
        <f>I325</f>
        <v>413.02100000000002</v>
      </c>
      <c r="E328" s="2"/>
      <c r="F328" s="2">
        <v>0</v>
      </c>
      <c r="G328" s="9" t="s">
        <v>80</v>
      </c>
      <c r="H328" s="2"/>
      <c r="I328" s="2"/>
    </row>
    <row r="329" spans="1:11">
      <c r="A329" s="2" t="s">
        <v>2</v>
      </c>
      <c r="B329" s="2"/>
      <c r="C329" s="1"/>
      <c r="D329" s="3">
        <f>SUM(D327:D328)</f>
        <v>600.58381250000002</v>
      </c>
      <c r="E329" s="2"/>
      <c r="F329" s="43">
        <f>+F328+F327</f>
        <v>828520</v>
      </c>
      <c r="G329" s="9" t="s">
        <v>82</v>
      </c>
      <c r="H329" s="2"/>
      <c r="I329" s="2"/>
    </row>
    <row r="330" spans="1:11">
      <c r="A330" s="2" t="s">
        <v>15</v>
      </c>
      <c r="B330" s="2"/>
      <c r="C330" s="14">
        <v>0</v>
      </c>
      <c r="D330" s="6">
        <f>D329*C330</f>
        <v>0</v>
      </c>
      <c r="E330" s="2"/>
      <c r="F330" s="11">
        <f>+D332/F329</f>
        <v>7.2538985178390383E-4</v>
      </c>
      <c r="G330" s="9" t="s">
        <v>18</v>
      </c>
      <c r="H330" s="2"/>
      <c r="I330" s="2"/>
    </row>
    <row r="331" spans="1:11" ht="14" thickBot="1">
      <c r="A331" s="2"/>
      <c r="B331" s="2"/>
      <c r="C331" s="15"/>
      <c r="D331" s="6"/>
      <c r="E331" s="2"/>
      <c r="H331" s="2"/>
      <c r="I331" s="17"/>
    </row>
    <row r="332" spans="1:11" ht="14" thickBot="1">
      <c r="A332" s="29" t="s">
        <v>16</v>
      </c>
      <c r="B332" s="67"/>
      <c r="C332" s="68"/>
      <c r="D332" s="69">
        <f>ROUNDUP(SUM(D329:D331),0)</f>
        <v>601</v>
      </c>
      <c r="E332" s="2"/>
      <c r="H332" s="2"/>
      <c r="I332" s="2"/>
    </row>
    <row r="334" spans="1:11">
      <c r="D334" s="16"/>
      <c r="E334" s="16"/>
    </row>
    <row r="335" spans="1:11">
      <c r="D335" s="16"/>
      <c r="E335" s="26"/>
      <c r="F335" s="27"/>
      <c r="G335" s="27"/>
    </row>
  </sheetData>
  <pageMargins left="0.75" right="0.75" top="1" bottom="1" header="0.5" footer="0.5"/>
  <pageSetup scale="54" fitToHeight="3" orientation="portrait" horizontalDpi="300" verticalDpi="300" r:id="rId1"/>
  <headerFooter alignWithMargins="0"/>
  <rowBreaks count="2" manualBreakCount="2">
    <brk id="158" max="16383" man="1"/>
    <brk id="246"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75"/>
  <sheetViews>
    <sheetView zoomScaleNormal="100" workbookViewId="0">
      <selection activeCell="O49" sqref="O49"/>
    </sheetView>
  </sheetViews>
  <sheetFormatPr baseColWidth="10" defaultColWidth="9.19921875" defaultRowHeight="11"/>
  <cols>
    <col min="1" max="1" width="24.796875" style="77" customWidth="1"/>
    <col min="2" max="2" width="7.59765625" style="77" customWidth="1"/>
    <col min="3" max="3" width="10.59765625" style="77" customWidth="1"/>
    <col min="4" max="4" width="4" style="77" bestFit="1" customWidth="1"/>
    <col min="5" max="5" width="10.3984375" style="77" bestFit="1" customWidth="1"/>
    <col min="6" max="6" width="8.19921875" style="77" bestFit="1" customWidth="1"/>
    <col min="7" max="7" width="4" style="77" bestFit="1" customWidth="1"/>
    <col min="8" max="8" width="11.796875" style="77" customWidth="1"/>
    <col min="9" max="9" width="11.3984375" style="77" customWidth="1"/>
    <col min="10" max="10" width="8" style="77" customWidth="1"/>
    <col min="11" max="16384" width="9.19921875" style="77"/>
  </cols>
  <sheetData>
    <row r="1" spans="1:12" ht="13">
      <c r="A1" s="190" t="s">
        <v>216</v>
      </c>
      <c r="B1" s="191"/>
      <c r="C1" s="191"/>
      <c r="D1" s="191"/>
      <c r="E1" s="191"/>
      <c r="F1" s="191"/>
      <c r="G1" s="191"/>
      <c r="H1" s="191"/>
      <c r="I1" s="191"/>
      <c r="J1" s="191"/>
    </row>
    <row r="2" spans="1:12" ht="10.5" customHeight="1">
      <c r="A2" s="78" t="s">
        <v>217</v>
      </c>
      <c r="B2" s="79"/>
      <c r="C2" s="80"/>
      <c r="D2" s="80"/>
      <c r="E2" s="80"/>
      <c r="F2" s="80"/>
      <c r="G2" s="80"/>
      <c r="H2" s="80"/>
      <c r="I2" s="80"/>
      <c r="J2" s="80"/>
    </row>
    <row r="3" spans="1:12" ht="10.5" customHeight="1" thickBot="1">
      <c r="A3" s="81"/>
      <c r="B3" s="82"/>
      <c r="C3" s="82"/>
      <c r="D3" s="82"/>
      <c r="E3" s="82"/>
      <c r="F3" s="82"/>
      <c r="G3" s="82"/>
      <c r="H3" s="82"/>
      <c r="I3" s="82"/>
      <c r="J3" s="82"/>
    </row>
    <row r="4" spans="1:12" ht="10.5" customHeight="1">
      <c r="A4" s="83" t="s">
        <v>6</v>
      </c>
      <c r="B4" s="84" t="s">
        <v>7</v>
      </c>
      <c r="C4" s="84" t="s">
        <v>8</v>
      </c>
      <c r="D4" s="84" t="s">
        <v>9</v>
      </c>
      <c r="E4" s="84" t="s">
        <v>10</v>
      </c>
      <c r="F4" s="84" t="s">
        <v>11</v>
      </c>
      <c r="G4" s="84" t="s">
        <v>9</v>
      </c>
      <c r="H4" s="85" t="s">
        <v>12</v>
      </c>
      <c r="I4" s="84"/>
      <c r="J4" s="84"/>
    </row>
    <row r="5" spans="1:12" ht="10.5" customHeight="1">
      <c r="A5" s="86"/>
      <c r="B5" s="87"/>
      <c r="C5" s="87"/>
      <c r="D5" s="87"/>
      <c r="E5" s="87"/>
      <c r="F5" s="87"/>
      <c r="G5" s="87"/>
      <c r="H5" s="88"/>
      <c r="I5" s="89"/>
      <c r="J5" s="89"/>
    </row>
    <row r="6" spans="1:12" ht="10.5" customHeight="1">
      <c r="A6" s="86" t="s">
        <v>218</v>
      </c>
      <c r="B6" s="90">
        <v>1</v>
      </c>
      <c r="C6" s="91">
        <f>L15</f>
        <v>0</v>
      </c>
      <c r="D6" s="92" t="s">
        <v>1</v>
      </c>
      <c r="E6" s="93">
        <f t="shared" ref="E6:E18" si="0">B6*C6</f>
        <v>0</v>
      </c>
      <c r="F6" s="94">
        <v>0</v>
      </c>
      <c r="G6" s="92" t="s">
        <v>1</v>
      </c>
      <c r="H6" s="95">
        <f t="shared" ref="H6:H17" si="1">B6*F6</f>
        <v>0</v>
      </c>
      <c r="I6" s="89">
        <f t="shared" ref="I6:I37" si="2">((((H6*$H$62)+(E6*(1+$C$62)))*(1+$B$67))*(1+$B$72))</f>
        <v>0</v>
      </c>
      <c r="J6" s="89">
        <f t="shared" ref="J6:J60" si="3">IF(I6=0,0,I6/B6)</f>
        <v>0</v>
      </c>
    </row>
    <row r="7" spans="1:12" ht="10.5" customHeight="1">
      <c r="A7" s="86" t="s">
        <v>288</v>
      </c>
      <c r="B7" s="90">
        <v>0</v>
      </c>
      <c r="C7" s="91">
        <v>50</v>
      </c>
      <c r="D7" s="92" t="s">
        <v>1</v>
      </c>
      <c r="E7" s="93">
        <f t="shared" si="0"/>
        <v>0</v>
      </c>
      <c r="F7" s="94">
        <v>5</v>
      </c>
      <c r="G7" s="92" t="s">
        <v>1</v>
      </c>
      <c r="H7" s="95">
        <f t="shared" si="1"/>
        <v>0</v>
      </c>
      <c r="I7" s="89">
        <f t="shared" si="2"/>
        <v>0</v>
      </c>
      <c r="J7" s="89">
        <f t="shared" si="3"/>
        <v>0</v>
      </c>
      <c r="K7" s="96">
        <v>0</v>
      </c>
      <c r="L7" s="97">
        <f t="shared" ref="L7:L12" si="4">K7*B7</f>
        <v>0</v>
      </c>
    </row>
    <row r="8" spans="1:12" ht="10.5" customHeight="1">
      <c r="A8" s="86" t="s">
        <v>219</v>
      </c>
      <c r="B8" s="90">
        <v>0</v>
      </c>
      <c r="C8" s="91">
        <v>50</v>
      </c>
      <c r="D8" s="92" t="s">
        <v>1</v>
      </c>
      <c r="E8" s="93">
        <f t="shared" si="0"/>
        <v>0</v>
      </c>
      <c r="F8" s="94">
        <v>7</v>
      </c>
      <c r="G8" s="92" t="s">
        <v>1</v>
      </c>
      <c r="H8" s="95">
        <f t="shared" si="1"/>
        <v>0</v>
      </c>
      <c r="I8" s="89">
        <f t="shared" si="2"/>
        <v>0</v>
      </c>
      <c r="J8" s="89">
        <f t="shared" si="3"/>
        <v>0</v>
      </c>
      <c r="K8" s="96">
        <v>0</v>
      </c>
      <c r="L8" s="97">
        <f t="shared" si="4"/>
        <v>0</v>
      </c>
    </row>
    <row r="9" spans="1:12" ht="10.5" customHeight="1">
      <c r="A9" s="86" t="s">
        <v>220</v>
      </c>
      <c r="B9" s="90">
        <v>0</v>
      </c>
      <c r="C9" s="91">
        <v>75</v>
      </c>
      <c r="D9" s="92" t="s">
        <v>1</v>
      </c>
      <c r="E9" s="93">
        <f t="shared" si="0"/>
        <v>0</v>
      </c>
      <c r="F9" s="94">
        <v>8.5</v>
      </c>
      <c r="G9" s="92" t="s">
        <v>1</v>
      </c>
      <c r="H9" s="95">
        <f t="shared" si="1"/>
        <v>0</v>
      </c>
      <c r="I9" s="89">
        <f t="shared" si="2"/>
        <v>0</v>
      </c>
      <c r="J9" s="89">
        <f t="shared" si="3"/>
        <v>0</v>
      </c>
      <c r="K9" s="96">
        <v>0</v>
      </c>
      <c r="L9" s="97">
        <f t="shared" si="4"/>
        <v>0</v>
      </c>
    </row>
    <row r="10" spans="1:12" ht="10.5" customHeight="1">
      <c r="A10" s="86" t="s">
        <v>221</v>
      </c>
      <c r="B10" s="90">
        <v>0</v>
      </c>
      <c r="C10" s="91">
        <v>100</v>
      </c>
      <c r="D10" s="92" t="s">
        <v>1</v>
      </c>
      <c r="E10" s="93">
        <f t="shared" si="0"/>
        <v>0</v>
      </c>
      <c r="F10" s="94">
        <v>10</v>
      </c>
      <c r="G10" s="92" t="s">
        <v>1</v>
      </c>
      <c r="H10" s="95">
        <f t="shared" si="1"/>
        <v>0</v>
      </c>
      <c r="I10" s="89">
        <f t="shared" si="2"/>
        <v>0</v>
      </c>
      <c r="J10" s="89">
        <f t="shared" si="3"/>
        <v>0</v>
      </c>
      <c r="K10" s="96">
        <v>0</v>
      </c>
      <c r="L10" s="97">
        <f t="shared" si="4"/>
        <v>0</v>
      </c>
    </row>
    <row r="11" spans="1:12" ht="10.5" customHeight="1">
      <c r="A11" s="86" t="s">
        <v>222</v>
      </c>
      <c r="B11" s="90">
        <v>0</v>
      </c>
      <c r="C11" s="91">
        <v>125</v>
      </c>
      <c r="D11" s="92" t="s">
        <v>1</v>
      </c>
      <c r="E11" s="93">
        <f t="shared" si="0"/>
        <v>0</v>
      </c>
      <c r="F11" s="94">
        <v>11.5</v>
      </c>
      <c r="G11" s="92" t="s">
        <v>1</v>
      </c>
      <c r="H11" s="95">
        <f t="shared" si="1"/>
        <v>0</v>
      </c>
      <c r="I11" s="89">
        <f t="shared" si="2"/>
        <v>0</v>
      </c>
      <c r="J11" s="89">
        <f t="shared" si="3"/>
        <v>0</v>
      </c>
      <c r="K11" s="96">
        <v>0</v>
      </c>
      <c r="L11" s="97">
        <f t="shared" si="4"/>
        <v>0</v>
      </c>
    </row>
    <row r="12" spans="1:12" ht="10.5" customHeight="1">
      <c r="A12" s="86" t="s">
        <v>223</v>
      </c>
      <c r="B12" s="90">
        <v>0</v>
      </c>
      <c r="C12" s="91">
        <v>50</v>
      </c>
      <c r="D12" s="92" t="s">
        <v>1</v>
      </c>
      <c r="E12" s="93">
        <f t="shared" si="0"/>
        <v>0</v>
      </c>
      <c r="F12" s="94">
        <v>5</v>
      </c>
      <c r="G12" s="92" t="s">
        <v>1</v>
      </c>
      <c r="H12" s="95">
        <f t="shared" si="1"/>
        <v>0</v>
      </c>
      <c r="I12" s="89">
        <f t="shared" si="2"/>
        <v>0</v>
      </c>
      <c r="J12" s="89">
        <f t="shared" si="3"/>
        <v>0</v>
      </c>
      <c r="K12" s="96">
        <v>0</v>
      </c>
      <c r="L12" s="97">
        <f t="shared" si="4"/>
        <v>0</v>
      </c>
    </row>
    <row r="13" spans="1:12" ht="10.5" customHeight="1">
      <c r="A13" s="86" t="s">
        <v>224</v>
      </c>
      <c r="B13" s="90">
        <f>SUM(B8:B11)</f>
        <v>0</v>
      </c>
      <c r="C13" s="91">
        <v>500</v>
      </c>
      <c r="D13" s="92" t="s">
        <v>1</v>
      </c>
      <c r="E13" s="93">
        <f t="shared" si="0"/>
        <v>0</v>
      </c>
      <c r="F13" s="94">
        <v>8</v>
      </c>
      <c r="G13" s="92" t="s">
        <v>1</v>
      </c>
      <c r="H13" s="95">
        <f t="shared" si="1"/>
        <v>0</v>
      </c>
      <c r="I13" s="89">
        <f t="shared" si="2"/>
        <v>0</v>
      </c>
      <c r="J13" s="89">
        <f t="shared" si="3"/>
        <v>0</v>
      </c>
      <c r="K13" s="77" t="s">
        <v>225</v>
      </c>
      <c r="L13" s="98">
        <f>SUM(L7:L12)</f>
        <v>0</v>
      </c>
    </row>
    <row r="14" spans="1:12" ht="10.5" customHeight="1">
      <c r="A14" s="86" t="s">
        <v>226</v>
      </c>
      <c r="B14" s="90">
        <f>B7</f>
        <v>0</v>
      </c>
      <c r="C14" s="91">
        <v>150</v>
      </c>
      <c r="D14" s="92" t="s">
        <v>1</v>
      </c>
      <c r="E14" s="93">
        <f t="shared" si="0"/>
        <v>0</v>
      </c>
      <c r="F14" s="94">
        <v>4</v>
      </c>
      <c r="G14" s="92" t="s">
        <v>1</v>
      </c>
      <c r="H14" s="95">
        <f t="shared" si="1"/>
        <v>0</v>
      </c>
      <c r="I14" s="89">
        <f t="shared" si="2"/>
        <v>0</v>
      </c>
      <c r="J14" s="89">
        <f t="shared" si="3"/>
        <v>0</v>
      </c>
      <c r="K14" s="99">
        <v>0.05</v>
      </c>
      <c r="L14" s="97">
        <f>L13*K14</f>
        <v>0</v>
      </c>
    </row>
    <row r="15" spans="1:12" ht="10.5" customHeight="1">
      <c r="A15" s="86" t="s">
        <v>227</v>
      </c>
      <c r="B15" s="90">
        <v>0</v>
      </c>
      <c r="C15" s="91">
        <v>400</v>
      </c>
      <c r="D15" s="92" t="s">
        <v>1</v>
      </c>
      <c r="E15" s="93">
        <f t="shared" si="0"/>
        <v>0</v>
      </c>
      <c r="F15" s="94">
        <v>3</v>
      </c>
      <c r="G15" s="92" t="s">
        <v>1</v>
      </c>
      <c r="H15" s="95">
        <f t="shared" si="1"/>
        <v>0</v>
      </c>
      <c r="I15" s="89">
        <f t="shared" si="2"/>
        <v>0</v>
      </c>
      <c r="J15" s="89">
        <f t="shared" si="3"/>
        <v>0</v>
      </c>
      <c r="K15" s="100" t="s">
        <v>16</v>
      </c>
      <c r="L15" s="101">
        <f>L14+L13</f>
        <v>0</v>
      </c>
    </row>
    <row r="16" spans="1:12" ht="10.5" customHeight="1">
      <c r="A16" s="86" t="s">
        <v>228</v>
      </c>
      <c r="B16" s="90">
        <f>B13+B14</f>
        <v>0</v>
      </c>
      <c r="C16" s="91">
        <v>20</v>
      </c>
      <c r="D16" s="92" t="s">
        <v>1</v>
      </c>
      <c r="E16" s="93">
        <f t="shared" si="0"/>
        <v>0</v>
      </c>
      <c r="F16" s="94">
        <v>0.15</v>
      </c>
      <c r="G16" s="92" t="s">
        <v>1</v>
      </c>
      <c r="H16" s="95">
        <f t="shared" si="1"/>
        <v>0</v>
      </c>
      <c r="I16" s="89">
        <f t="shared" si="2"/>
        <v>0</v>
      </c>
      <c r="J16" s="89">
        <f t="shared" si="3"/>
        <v>0</v>
      </c>
    </row>
    <row r="17" spans="1:10" ht="10.5" customHeight="1">
      <c r="A17" s="86" t="s">
        <v>229</v>
      </c>
      <c r="B17" s="90">
        <f>B13+B14</f>
        <v>0</v>
      </c>
      <c r="C17" s="91">
        <v>35</v>
      </c>
      <c r="D17" s="92" t="s">
        <v>1</v>
      </c>
      <c r="E17" s="93">
        <f t="shared" si="0"/>
        <v>0</v>
      </c>
      <c r="F17" s="94">
        <v>0.3</v>
      </c>
      <c r="G17" s="92" t="s">
        <v>1</v>
      </c>
      <c r="H17" s="95">
        <f t="shared" si="1"/>
        <v>0</v>
      </c>
      <c r="I17" s="89">
        <f t="shared" si="2"/>
        <v>0</v>
      </c>
      <c r="J17" s="89">
        <f t="shared" si="3"/>
        <v>0</v>
      </c>
    </row>
    <row r="18" spans="1:10" ht="10.5" customHeight="1">
      <c r="A18" s="86" t="s">
        <v>230</v>
      </c>
      <c r="B18" s="90">
        <v>0</v>
      </c>
      <c r="C18" s="91">
        <v>2</v>
      </c>
      <c r="D18" s="92" t="s">
        <v>231</v>
      </c>
      <c r="E18" s="93">
        <f t="shared" si="0"/>
        <v>0</v>
      </c>
      <c r="F18" s="94">
        <v>8</v>
      </c>
      <c r="G18" s="92" t="s">
        <v>0</v>
      </c>
      <c r="H18" s="95">
        <f t="shared" ref="H18:H53" si="5">B18*F18/100</f>
        <v>0</v>
      </c>
      <c r="I18" s="89">
        <f t="shared" si="2"/>
        <v>0</v>
      </c>
      <c r="J18" s="89">
        <f t="shared" si="3"/>
        <v>0</v>
      </c>
    </row>
    <row r="19" spans="1:10" ht="10.5" customHeight="1">
      <c r="A19" s="102" t="s">
        <v>232</v>
      </c>
      <c r="B19" s="90">
        <v>0</v>
      </c>
      <c r="C19" s="91">
        <v>250</v>
      </c>
      <c r="D19" s="92" t="s">
        <v>0</v>
      </c>
      <c r="E19" s="93">
        <f t="shared" ref="E19:E53" si="6">B19*C19/100</f>
        <v>0</v>
      </c>
      <c r="F19" s="94">
        <v>5</v>
      </c>
      <c r="G19" s="92" t="s">
        <v>0</v>
      </c>
      <c r="H19" s="95">
        <f t="shared" si="5"/>
        <v>0</v>
      </c>
      <c r="I19" s="89">
        <f t="shared" si="2"/>
        <v>0</v>
      </c>
      <c r="J19" s="89">
        <f t="shared" si="3"/>
        <v>0</v>
      </c>
    </row>
    <row r="20" spans="1:10" ht="10.5" customHeight="1">
      <c r="A20" s="86" t="s">
        <v>233</v>
      </c>
      <c r="B20" s="90">
        <v>0</v>
      </c>
      <c r="C20" s="91">
        <v>350</v>
      </c>
      <c r="D20" s="92" t="s">
        <v>0</v>
      </c>
      <c r="E20" s="93">
        <f t="shared" si="6"/>
        <v>0</v>
      </c>
      <c r="F20" s="94">
        <v>5.5</v>
      </c>
      <c r="G20" s="92" t="s">
        <v>0</v>
      </c>
      <c r="H20" s="95">
        <f t="shared" si="5"/>
        <v>0</v>
      </c>
      <c r="I20" s="89">
        <f t="shared" si="2"/>
        <v>0</v>
      </c>
      <c r="J20" s="89">
        <f t="shared" si="3"/>
        <v>0</v>
      </c>
    </row>
    <row r="21" spans="1:10" ht="10.5" customHeight="1">
      <c r="A21" s="86" t="s">
        <v>234</v>
      </c>
      <c r="B21" s="90">
        <v>0</v>
      </c>
      <c r="C21" s="91">
        <v>425</v>
      </c>
      <c r="D21" s="92" t="s">
        <v>0</v>
      </c>
      <c r="E21" s="93">
        <f t="shared" si="6"/>
        <v>0</v>
      </c>
      <c r="F21" s="94">
        <v>6.75</v>
      </c>
      <c r="G21" s="92" t="s">
        <v>0</v>
      </c>
      <c r="H21" s="95">
        <f t="shared" si="5"/>
        <v>0</v>
      </c>
      <c r="I21" s="89">
        <f t="shared" si="2"/>
        <v>0</v>
      </c>
      <c r="J21" s="89">
        <f t="shared" si="3"/>
        <v>0</v>
      </c>
    </row>
    <row r="22" spans="1:10" ht="10.5" customHeight="1">
      <c r="A22" s="86" t="s">
        <v>235</v>
      </c>
      <c r="B22" s="90">
        <v>0</v>
      </c>
      <c r="C22" s="91">
        <v>500</v>
      </c>
      <c r="D22" s="92" t="s">
        <v>0</v>
      </c>
      <c r="E22" s="93">
        <f t="shared" si="6"/>
        <v>0</v>
      </c>
      <c r="F22" s="94">
        <v>7.75</v>
      </c>
      <c r="G22" s="92" t="s">
        <v>0</v>
      </c>
      <c r="H22" s="95">
        <f t="shared" si="5"/>
        <v>0</v>
      </c>
      <c r="I22" s="89">
        <f t="shared" si="2"/>
        <v>0</v>
      </c>
      <c r="J22" s="89">
        <f t="shared" si="3"/>
        <v>0</v>
      </c>
    </row>
    <row r="23" spans="1:10" ht="10.5" customHeight="1">
      <c r="A23" s="86" t="s">
        <v>236</v>
      </c>
      <c r="B23" s="90">
        <v>0</v>
      </c>
      <c r="C23" s="91">
        <v>1100</v>
      </c>
      <c r="D23" s="92" t="s">
        <v>0</v>
      </c>
      <c r="E23" s="93">
        <f t="shared" si="6"/>
        <v>0</v>
      </c>
      <c r="F23" s="94">
        <v>12.25</v>
      </c>
      <c r="G23" s="92" t="s">
        <v>0</v>
      </c>
      <c r="H23" s="95">
        <f t="shared" si="5"/>
        <v>0</v>
      </c>
      <c r="I23" s="89">
        <f t="shared" si="2"/>
        <v>0</v>
      </c>
      <c r="J23" s="89">
        <f t="shared" si="3"/>
        <v>0</v>
      </c>
    </row>
    <row r="24" spans="1:10" ht="10.5" customHeight="1">
      <c r="A24" s="86" t="s">
        <v>237</v>
      </c>
      <c r="B24" s="90">
        <v>0</v>
      </c>
      <c r="C24" s="91">
        <v>1525</v>
      </c>
      <c r="D24" s="92" t="s">
        <v>0</v>
      </c>
      <c r="E24" s="93">
        <f t="shared" si="6"/>
        <v>0</v>
      </c>
      <c r="F24" s="94">
        <v>17.25</v>
      </c>
      <c r="G24" s="92" t="s">
        <v>0</v>
      </c>
      <c r="H24" s="95">
        <f t="shared" si="5"/>
        <v>0</v>
      </c>
      <c r="I24" s="89">
        <f t="shared" si="2"/>
        <v>0</v>
      </c>
      <c r="J24" s="89">
        <f t="shared" si="3"/>
        <v>0</v>
      </c>
    </row>
    <row r="25" spans="1:10" ht="10.5" customHeight="1">
      <c r="A25" s="102" t="s">
        <v>238</v>
      </c>
      <c r="B25" s="90">
        <v>0</v>
      </c>
      <c r="C25" s="91">
        <v>180</v>
      </c>
      <c r="D25" s="92" t="s">
        <v>0</v>
      </c>
      <c r="E25" s="93">
        <f t="shared" si="6"/>
        <v>0</v>
      </c>
      <c r="F25" s="94">
        <v>5</v>
      </c>
      <c r="G25" s="92" t="s">
        <v>0</v>
      </c>
      <c r="H25" s="95">
        <f t="shared" si="5"/>
        <v>0</v>
      </c>
      <c r="I25" s="89">
        <f t="shared" si="2"/>
        <v>0</v>
      </c>
      <c r="J25" s="89">
        <f t="shared" si="3"/>
        <v>0</v>
      </c>
    </row>
    <row r="26" spans="1:10" ht="10.5" customHeight="1">
      <c r="A26" s="86" t="s">
        <v>239</v>
      </c>
      <c r="B26" s="90">
        <v>0</v>
      </c>
      <c r="C26" s="91">
        <v>240</v>
      </c>
      <c r="D26" s="92" t="s">
        <v>0</v>
      </c>
      <c r="E26" s="93">
        <f t="shared" si="6"/>
        <v>0</v>
      </c>
      <c r="F26" s="94">
        <v>5.5</v>
      </c>
      <c r="G26" s="92" t="s">
        <v>0</v>
      </c>
      <c r="H26" s="95">
        <f t="shared" si="5"/>
        <v>0</v>
      </c>
      <c r="I26" s="89">
        <f t="shared" si="2"/>
        <v>0</v>
      </c>
      <c r="J26" s="89">
        <f t="shared" si="3"/>
        <v>0</v>
      </c>
    </row>
    <row r="27" spans="1:10" ht="10.5" customHeight="1">
      <c r="A27" s="86" t="s">
        <v>240</v>
      </c>
      <c r="B27" s="90">
        <v>0</v>
      </c>
      <c r="C27" s="91">
        <v>310</v>
      </c>
      <c r="D27" s="92" t="s">
        <v>0</v>
      </c>
      <c r="E27" s="93">
        <f t="shared" si="6"/>
        <v>0</v>
      </c>
      <c r="F27" s="94">
        <v>7</v>
      </c>
      <c r="G27" s="92" t="s">
        <v>0</v>
      </c>
      <c r="H27" s="95">
        <f t="shared" si="5"/>
        <v>0</v>
      </c>
      <c r="I27" s="89">
        <f t="shared" si="2"/>
        <v>0</v>
      </c>
      <c r="J27" s="89">
        <f t="shared" si="3"/>
        <v>0</v>
      </c>
    </row>
    <row r="28" spans="1:10" ht="10.5" customHeight="1">
      <c r="A28" s="86" t="s">
        <v>241</v>
      </c>
      <c r="B28" s="90">
        <v>0</v>
      </c>
      <c r="C28" s="91">
        <v>390</v>
      </c>
      <c r="D28" s="92" t="s">
        <v>0</v>
      </c>
      <c r="E28" s="93">
        <f t="shared" si="6"/>
        <v>0</v>
      </c>
      <c r="F28" s="94">
        <v>8</v>
      </c>
      <c r="G28" s="92" t="s">
        <v>0</v>
      </c>
      <c r="H28" s="95">
        <f t="shared" si="5"/>
        <v>0</v>
      </c>
      <c r="I28" s="89">
        <f t="shared" si="2"/>
        <v>0</v>
      </c>
      <c r="J28" s="89">
        <f t="shared" si="3"/>
        <v>0</v>
      </c>
    </row>
    <row r="29" spans="1:10" ht="10.5" customHeight="1">
      <c r="A29" s="86" t="s">
        <v>242</v>
      </c>
      <c r="B29" s="90">
        <v>0</v>
      </c>
      <c r="C29" s="91">
        <v>950</v>
      </c>
      <c r="D29" s="92" t="s">
        <v>0</v>
      </c>
      <c r="E29" s="93">
        <f t="shared" si="6"/>
        <v>0</v>
      </c>
      <c r="F29" s="94">
        <v>12</v>
      </c>
      <c r="G29" s="92" t="s">
        <v>0</v>
      </c>
      <c r="H29" s="95">
        <f t="shared" si="5"/>
        <v>0</v>
      </c>
      <c r="I29" s="89">
        <f t="shared" si="2"/>
        <v>0</v>
      </c>
      <c r="J29" s="89">
        <f t="shared" si="3"/>
        <v>0</v>
      </c>
    </row>
    <row r="30" spans="1:10" ht="10.5" customHeight="1">
      <c r="A30" s="86" t="s">
        <v>243</v>
      </c>
      <c r="B30" s="90">
        <v>0</v>
      </c>
      <c r="C30" s="91">
        <v>1300</v>
      </c>
      <c r="D30" s="92" t="s">
        <v>0</v>
      </c>
      <c r="E30" s="93">
        <f t="shared" si="6"/>
        <v>0</v>
      </c>
      <c r="F30" s="94">
        <v>16.5</v>
      </c>
      <c r="G30" s="92" t="s">
        <v>0</v>
      </c>
      <c r="H30" s="95">
        <f t="shared" si="5"/>
        <v>0</v>
      </c>
      <c r="I30" s="89">
        <f t="shared" si="2"/>
        <v>0</v>
      </c>
      <c r="J30" s="89">
        <f t="shared" si="3"/>
        <v>0</v>
      </c>
    </row>
    <row r="31" spans="1:10" ht="10.5" customHeight="1">
      <c r="A31" s="102" t="s">
        <v>244</v>
      </c>
      <c r="B31" s="90">
        <v>0</v>
      </c>
      <c r="C31" s="91">
        <v>60</v>
      </c>
      <c r="D31" s="92" t="s">
        <v>0</v>
      </c>
      <c r="E31" s="93">
        <f t="shared" si="6"/>
        <v>0</v>
      </c>
      <c r="F31" s="94">
        <v>3.5</v>
      </c>
      <c r="G31" s="92" t="s">
        <v>0</v>
      </c>
      <c r="H31" s="95">
        <f t="shared" si="5"/>
        <v>0</v>
      </c>
      <c r="I31" s="89">
        <f t="shared" si="2"/>
        <v>0</v>
      </c>
      <c r="J31" s="89">
        <f t="shared" si="3"/>
        <v>0</v>
      </c>
    </row>
    <row r="32" spans="1:10" ht="10.5" customHeight="1">
      <c r="A32" s="86" t="s">
        <v>245</v>
      </c>
      <c r="B32" s="90">
        <v>0</v>
      </c>
      <c r="C32" s="91">
        <v>80</v>
      </c>
      <c r="D32" s="92" t="s">
        <v>0</v>
      </c>
      <c r="E32" s="93">
        <f t="shared" si="6"/>
        <v>0</v>
      </c>
      <c r="F32" s="94">
        <v>3.75</v>
      </c>
      <c r="G32" s="92" t="s">
        <v>0</v>
      </c>
      <c r="H32" s="95">
        <f t="shared" si="5"/>
        <v>0</v>
      </c>
      <c r="I32" s="89">
        <f t="shared" si="2"/>
        <v>0</v>
      </c>
      <c r="J32" s="89">
        <f t="shared" si="3"/>
        <v>0</v>
      </c>
    </row>
    <row r="33" spans="1:10" ht="10.5" customHeight="1">
      <c r="A33" s="86" t="s">
        <v>246</v>
      </c>
      <c r="B33" s="90">
        <v>0</v>
      </c>
      <c r="C33" s="91">
        <v>90</v>
      </c>
      <c r="D33" s="92" t="s">
        <v>0</v>
      </c>
      <c r="E33" s="93">
        <f t="shared" si="6"/>
        <v>0</v>
      </c>
      <c r="F33" s="94">
        <v>4</v>
      </c>
      <c r="G33" s="92" t="s">
        <v>0</v>
      </c>
      <c r="H33" s="95">
        <f t="shared" si="5"/>
        <v>0</v>
      </c>
      <c r="I33" s="89">
        <f t="shared" si="2"/>
        <v>0</v>
      </c>
      <c r="J33" s="89">
        <f t="shared" si="3"/>
        <v>0</v>
      </c>
    </row>
    <row r="34" spans="1:10" ht="10.5" customHeight="1">
      <c r="A34" s="86" t="s">
        <v>247</v>
      </c>
      <c r="B34" s="90">
        <v>0</v>
      </c>
      <c r="C34" s="91">
        <v>100</v>
      </c>
      <c r="D34" s="92" t="s">
        <v>0</v>
      </c>
      <c r="E34" s="93">
        <f t="shared" si="6"/>
        <v>0</v>
      </c>
      <c r="F34" s="94">
        <v>4.25</v>
      </c>
      <c r="G34" s="92" t="s">
        <v>0</v>
      </c>
      <c r="H34" s="95">
        <f t="shared" si="5"/>
        <v>0</v>
      </c>
      <c r="I34" s="89">
        <f t="shared" si="2"/>
        <v>0</v>
      </c>
      <c r="J34" s="89">
        <f t="shared" si="3"/>
        <v>0</v>
      </c>
    </row>
    <row r="35" spans="1:10" ht="10.5" customHeight="1">
      <c r="A35" s="86" t="s">
        <v>248</v>
      </c>
      <c r="B35" s="90">
        <v>0</v>
      </c>
      <c r="C35" s="91">
        <v>225</v>
      </c>
      <c r="D35" s="92" t="s">
        <v>0</v>
      </c>
      <c r="E35" s="93">
        <f t="shared" si="6"/>
        <v>0</v>
      </c>
      <c r="F35" s="94">
        <v>6</v>
      </c>
      <c r="G35" s="92" t="s">
        <v>0</v>
      </c>
      <c r="H35" s="95">
        <f t="shared" si="5"/>
        <v>0</v>
      </c>
      <c r="I35" s="89">
        <f t="shared" si="2"/>
        <v>0</v>
      </c>
      <c r="J35" s="89">
        <f t="shared" si="3"/>
        <v>0</v>
      </c>
    </row>
    <row r="36" spans="1:10" ht="10.5" customHeight="1">
      <c r="A36" s="86" t="s">
        <v>249</v>
      </c>
      <c r="B36" s="90">
        <v>0</v>
      </c>
      <c r="C36" s="91">
        <v>350</v>
      </c>
      <c r="D36" s="92" t="s">
        <v>0</v>
      </c>
      <c r="E36" s="93">
        <f t="shared" si="6"/>
        <v>0</v>
      </c>
      <c r="F36" s="94">
        <v>7.5</v>
      </c>
      <c r="G36" s="92" t="s">
        <v>0</v>
      </c>
      <c r="H36" s="95">
        <f t="shared" si="5"/>
        <v>0</v>
      </c>
      <c r="I36" s="89">
        <f t="shared" si="2"/>
        <v>0</v>
      </c>
      <c r="J36" s="89">
        <f t="shared" si="3"/>
        <v>0</v>
      </c>
    </row>
    <row r="37" spans="1:10" ht="10.5" customHeight="1">
      <c r="A37" s="86" t="s">
        <v>250</v>
      </c>
      <c r="B37" s="90">
        <v>0</v>
      </c>
      <c r="C37" s="91">
        <v>150</v>
      </c>
      <c r="D37" s="92" t="s">
        <v>0</v>
      </c>
      <c r="E37" s="93">
        <f t="shared" si="6"/>
        <v>0</v>
      </c>
      <c r="F37" s="94">
        <v>2.5</v>
      </c>
      <c r="G37" s="92" t="s">
        <v>0</v>
      </c>
      <c r="H37" s="95">
        <f t="shared" si="5"/>
        <v>0</v>
      </c>
      <c r="I37" s="89">
        <f t="shared" si="2"/>
        <v>0</v>
      </c>
      <c r="J37" s="89">
        <f t="shared" si="3"/>
        <v>0</v>
      </c>
    </row>
    <row r="38" spans="1:10" ht="10.5" customHeight="1">
      <c r="A38" s="86" t="s">
        <v>251</v>
      </c>
      <c r="B38" s="90">
        <v>0</v>
      </c>
      <c r="C38" s="91">
        <v>200</v>
      </c>
      <c r="D38" s="92" t="s">
        <v>0</v>
      </c>
      <c r="E38" s="93">
        <f t="shared" si="6"/>
        <v>0</v>
      </c>
      <c r="F38" s="94">
        <v>3</v>
      </c>
      <c r="G38" s="92" t="s">
        <v>0</v>
      </c>
      <c r="H38" s="95">
        <f t="shared" si="5"/>
        <v>0</v>
      </c>
      <c r="I38" s="89">
        <f t="shared" ref="I38:I60" si="7">((((H38*$H$62)+(E38*(1+$C$62)))*(1+$B$67))*(1+$B$72))</f>
        <v>0</v>
      </c>
      <c r="J38" s="89">
        <f t="shared" si="3"/>
        <v>0</v>
      </c>
    </row>
    <row r="39" spans="1:10" ht="10.5" customHeight="1">
      <c r="A39" s="86" t="s">
        <v>252</v>
      </c>
      <c r="B39" s="90">
        <v>0</v>
      </c>
      <c r="C39" s="91">
        <v>250</v>
      </c>
      <c r="D39" s="92" t="s">
        <v>0</v>
      </c>
      <c r="E39" s="93">
        <f t="shared" si="6"/>
        <v>0</v>
      </c>
      <c r="F39" s="94">
        <v>3.5</v>
      </c>
      <c r="G39" s="92" t="s">
        <v>0</v>
      </c>
      <c r="H39" s="95">
        <f t="shared" si="5"/>
        <v>0</v>
      </c>
      <c r="I39" s="89">
        <f t="shared" si="7"/>
        <v>0</v>
      </c>
      <c r="J39" s="89">
        <f t="shared" si="3"/>
        <v>0</v>
      </c>
    </row>
    <row r="40" spans="1:10" ht="10.5" customHeight="1">
      <c r="A40" s="86" t="s">
        <v>253</v>
      </c>
      <c r="B40" s="90">
        <v>0</v>
      </c>
      <c r="C40" s="91">
        <v>350</v>
      </c>
      <c r="D40" s="92" t="s">
        <v>0</v>
      </c>
      <c r="E40" s="93">
        <f t="shared" si="6"/>
        <v>0</v>
      </c>
      <c r="F40" s="94">
        <v>5</v>
      </c>
      <c r="G40" s="92" t="s">
        <v>0</v>
      </c>
      <c r="H40" s="95">
        <f t="shared" si="5"/>
        <v>0</v>
      </c>
      <c r="I40" s="89">
        <f t="shared" si="7"/>
        <v>0</v>
      </c>
      <c r="J40" s="89">
        <f t="shared" si="3"/>
        <v>0</v>
      </c>
    </row>
    <row r="41" spans="1:10" ht="10.5" customHeight="1">
      <c r="A41" s="86" t="s">
        <v>254</v>
      </c>
      <c r="B41" s="90">
        <v>0</v>
      </c>
      <c r="C41" s="91">
        <v>450</v>
      </c>
      <c r="D41" s="92" t="s">
        <v>0</v>
      </c>
      <c r="E41" s="93">
        <f t="shared" si="6"/>
        <v>0</v>
      </c>
      <c r="F41" s="94">
        <v>6.5</v>
      </c>
      <c r="G41" s="92" t="s">
        <v>0</v>
      </c>
      <c r="H41" s="95">
        <f t="shared" si="5"/>
        <v>0</v>
      </c>
      <c r="I41" s="89">
        <f t="shared" si="7"/>
        <v>0</v>
      </c>
      <c r="J41" s="89">
        <f t="shared" si="3"/>
        <v>0</v>
      </c>
    </row>
    <row r="42" spans="1:10" ht="10.5" customHeight="1">
      <c r="A42" s="86" t="s">
        <v>255</v>
      </c>
      <c r="B42" s="90">
        <v>0</v>
      </c>
      <c r="C42" s="91">
        <v>105</v>
      </c>
      <c r="D42" s="92" t="s">
        <v>0</v>
      </c>
      <c r="E42" s="93">
        <f t="shared" si="6"/>
        <v>0</v>
      </c>
      <c r="F42" s="94">
        <v>2</v>
      </c>
      <c r="G42" s="92" t="s">
        <v>0</v>
      </c>
      <c r="H42" s="95">
        <f t="shared" si="5"/>
        <v>0</v>
      </c>
      <c r="I42" s="89">
        <f t="shared" si="7"/>
        <v>0</v>
      </c>
      <c r="J42" s="89">
        <f t="shared" si="3"/>
        <v>0</v>
      </c>
    </row>
    <row r="43" spans="1:10" ht="10.5" customHeight="1">
      <c r="A43" s="86" t="s">
        <v>256</v>
      </c>
      <c r="B43" s="90">
        <v>0</v>
      </c>
      <c r="C43" s="91">
        <v>140</v>
      </c>
      <c r="D43" s="92" t="s">
        <v>0</v>
      </c>
      <c r="E43" s="93">
        <f t="shared" si="6"/>
        <v>0</v>
      </c>
      <c r="F43" s="94">
        <v>2.5</v>
      </c>
      <c r="G43" s="92" t="s">
        <v>0</v>
      </c>
      <c r="H43" s="95">
        <f t="shared" si="5"/>
        <v>0</v>
      </c>
      <c r="I43" s="89">
        <f t="shared" si="7"/>
        <v>0</v>
      </c>
      <c r="J43" s="89">
        <f t="shared" si="3"/>
        <v>0</v>
      </c>
    </row>
    <row r="44" spans="1:10" ht="10.5" customHeight="1">
      <c r="A44" s="86" t="s">
        <v>257</v>
      </c>
      <c r="B44" s="90">
        <v>0</v>
      </c>
      <c r="C44" s="91">
        <v>175</v>
      </c>
      <c r="D44" s="92" t="s">
        <v>0</v>
      </c>
      <c r="E44" s="93">
        <f t="shared" si="6"/>
        <v>0</v>
      </c>
      <c r="F44" s="94">
        <v>3.25</v>
      </c>
      <c r="G44" s="92" t="s">
        <v>0</v>
      </c>
      <c r="H44" s="95">
        <f t="shared" si="5"/>
        <v>0</v>
      </c>
      <c r="I44" s="89">
        <f t="shared" si="7"/>
        <v>0</v>
      </c>
      <c r="J44" s="89">
        <f t="shared" si="3"/>
        <v>0</v>
      </c>
    </row>
    <row r="45" spans="1:10" ht="10.5" customHeight="1">
      <c r="A45" s="86" t="s">
        <v>258</v>
      </c>
      <c r="B45" s="90">
        <v>0</v>
      </c>
      <c r="C45" s="91">
        <v>245</v>
      </c>
      <c r="D45" s="92" t="s">
        <v>0</v>
      </c>
      <c r="E45" s="93">
        <f t="shared" si="6"/>
        <v>0</v>
      </c>
      <c r="F45" s="94">
        <v>4.5</v>
      </c>
      <c r="G45" s="92" t="s">
        <v>0</v>
      </c>
      <c r="H45" s="95">
        <f t="shared" si="5"/>
        <v>0</v>
      </c>
      <c r="I45" s="89">
        <f t="shared" si="7"/>
        <v>0</v>
      </c>
      <c r="J45" s="89">
        <f t="shared" si="3"/>
        <v>0</v>
      </c>
    </row>
    <row r="46" spans="1:10" ht="10.5" customHeight="1">
      <c r="A46" s="86" t="s">
        <v>259</v>
      </c>
      <c r="B46" s="90">
        <v>0</v>
      </c>
      <c r="C46" s="91">
        <v>315</v>
      </c>
      <c r="D46" s="92" t="s">
        <v>0</v>
      </c>
      <c r="E46" s="93">
        <f t="shared" si="6"/>
        <v>0</v>
      </c>
      <c r="F46" s="94">
        <v>5.75</v>
      </c>
      <c r="G46" s="92" t="s">
        <v>0</v>
      </c>
      <c r="H46" s="95">
        <f t="shared" si="5"/>
        <v>0</v>
      </c>
      <c r="I46" s="89">
        <f t="shared" si="7"/>
        <v>0</v>
      </c>
      <c r="J46" s="89">
        <f t="shared" si="3"/>
        <v>0</v>
      </c>
    </row>
    <row r="47" spans="1:10" ht="10.5" customHeight="1">
      <c r="A47" s="86" t="s">
        <v>260</v>
      </c>
      <c r="B47" s="90">
        <v>0</v>
      </c>
      <c r="C47" s="91">
        <v>75</v>
      </c>
      <c r="D47" s="92" t="s">
        <v>0</v>
      </c>
      <c r="E47" s="93">
        <f t="shared" si="6"/>
        <v>0</v>
      </c>
      <c r="F47" s="94">
        <v>2</v>
      </c>
      <c r="G47" s="92" t="s">
        <v>0</v>
      </c>
      <c r="H47" s="95">
        <f t="shared" si="5"/>
        <v>0</v>
      </c>
      <c r="I47" s="89">
        <f t="shared" si="7"/>
        <v>0</v>
      </c>
      <c r="J47" s="89">
        <f t="shared" si="3"/>
        <v>0</v>
      </c>
    </row>
    <row r="48" spans="1:10" ht="10.5" customHeight="1">
      <c r="A48" s="86" t="s">
        <v>261</v>
      </c>
      <c r="B48" s="90">
        <v>0</v>
      </c>
      <c r="C48" s="91">
        <v>100</v>
      </c>
      <c r="D48" s="92" t="s">
        <v>0</v>
      </c>
      <c r="E48" s="93">
        <f t="shared" si="6"/>
        <v>0</v>
      </c>
      <c r="F48" s="94">
        <v>2.5</v>
      </c>
      <c r="G48" s="92" t="s">
        <v>0</v>
      </c>
      <c r="H48" s="95">
        <f t="shared" si="5"/>
        <v>0</v>
      </c>
      <c r="I48" s="89">
        <f t="shared" si="7"/>
        <v>0</v>
      </c>
      <c r="J48" s="89">
        <f t="shared" si="3"/>
        <v>0</v>
      </c>
    </row>
    <row r="49" spans="1:10" ht="10.5" customHeight="1">
      <c r="A49" s="86" t="s">
        <v>262</v>
      </c>
      <c r="B49" s="90">
        <v>0</v>
      </c>
      <c r="C49" s="91">
        <v>125</v>
      </c>
      <c r="D49" s="92" t="s">
        <v>0</v>
      </c>
      <c r="E49" s="93">
        <f t="shared" si="6"/>
        <v>0</v>
      </c>
      <c r="F49" s="94">
        <v>3</v>
      </c>
      <c r="G49" s="92" t="s">
        <v>0</v>
      </c>
      <c r="H49" s="95">
        <f t="shared" si="5"/>
        <v>0</v>
      </c>
      <c r="I49" s="89">
        <f t="shared" si="7"/>
        <v>0</v>
      </c>
      <c r="J49" s="89">
        <f t="shared" si="3"/>
        <v>0</v>
      </c>
    </row>
    <row r="50" spans="1:10" ht="10.5" customHeight="1">
      <c r="A50" s="86" t="s">
        <v>263</v>
      </c>
      <c r="B50" s="90">
        <v>0</v>
      </c>
      <c r="C50" s="91">
        <v>175</v>
      </c>
      <c r="D50" s="92" t="s">
        <v>0</v>
      </c>
      <c r="E50" s="93">
        <f t="shared" si="6"/>
        <v>0</v>
      </c>
      <c r="F50" s="94">
        <v>4.25</v>
      </c>
      <c r="G50" s="92" t="s">
        <v>0</v>
      </c>
      <c r="H50" s="95">
        <f t="shared" si="5"/>
        <v>0</v>
      </c>
      <c r="I50" s="89">
        <f t="shared" si="7"/>
        <v>0</v>
      </c>
      <c r="J50" s="89">
        <f t="shared" si="3"/>
        <v>0</v>
      </c>
    </row>
    <row r="51" spans="1:10" ht="10.5" customHeight="1">
      <c r="A51" s="86" t="s">
        <v>264</v>
      </c>
      <c r="B51" s="90">
        <v>0</v>
      </c>
      <c r="C51" s="91">
        <v>225</v>
      </c>
      <c r="D51" s="92" t="s">
        <v>0</v>
      </c>
      <c r="E51" s="93">
        <f t="shared" si="6"/>
        <v>0</v>
      </c>
      <c r="F51" s="94">
        <v>5.5</v>
      </c>
      <c r="G51" s="92" t="s">
        <v>0</v>
      </c>
      <c r="H51" s="95">
        <f t="shared" si="5"/>
        <v>0</v>
      </c>
      <c r="I51" s="89">
        <f t="shared" si="7"/>
        <v>0</v>
      </c>
      <c r="J51" s="89">
        <f t="shared" si="3"/>
        <v>0</v>
      </c>
    </row>
    <row r="52" spans="1:10" ht="10.5" customHeight="1">
      <c r="A52" s="86" t="s">
        <v>265</v>
      </c>
      <c r="B52" s="90">
        <v>0</v>
      </c>
      <c r="C52" s="91">
        <v>500</v>
      </c>
      <c r="D52" s="92" t="s">
        <v>0</v>
      </c>
      <c r="E52" s="93">
        <f t="shared" si="6"/>
        <v>0</v>
      </c>
      <c r="F52" s="94">
        <v>3</v>
      </c>
      <c r="G52" s="92" t="s">
        <v>0</v>
      </c>
      <c r="H52" s="95">
        <f t="shared" si="5"/>
        <v>0</v>
      </c>
      <c r="I52" s="89">
        <f t="shared" si="7"/>
        <v>0</v>
      </c>
      <c r="J52" s="89">
        <f t="shared" si="3"/>
        <v>0</v>
      </c>
    </row>
    <row r="53" spans="1:10" ht="10.5" customHeight="1">
      <c r="A53" s="86" t="s">
        <v>266</v>
      </c>
      <c r="B53" s="90">
        <v>0</v>
      </c>
      <c r="C53" s="91">
        <v>75</v>
      </c>
      <c r="D53" s="92" t="s">
        <v>0</v>
      </c>
      <c r="E53" s="93">
        <f t="shared" si="6"/>
        <v>0</v>
      </c>
      <c r="F53" s="94">
        <v>2</v>
      </c>
      <c r="G53" s="92" t="s">
        <v>0</v>
      </c>
      <c r="H53" s="95">
        <f t="shared" si="5"/>
        <v>0</v>
      </c>
      <c r="I53" s="89">
        <f t="shared" si="7"/>
        <v>0</v>
      </c>
      <c r="J53" s="89">
        <f t="shared" si="3"/>
        <v>0</v>
      </c>
    </row>
    <row r="54" spans="1:10" ht="10.5" customHeight="1">
      <c r="A54" s="103" t="s">
        <v>51</v>
      </c>
      <c r="B54" s="90">
        <v>0</v>
      </c>
      <c r="C54" s="104">
        <v>250</v>
      </c>
      <c r="D54" s="92" t="s">
        <v>267</v>
      </c>
      <c r="E54" s="93">
        <f>SUM(B54*0.5*3/27)*C54/13</f>
        <v>0</v>
      </c>
      <c r="F54" s="87">
        <v>0.35</v>
      </c>
      <c r="G54" s="92" t="s">
        <v>267</v>
      </c>
      <c r="H54" s="95">
        <f t="shared" ref="H54:H60" si="8">B54*F54</f>
        <v>0</v>
      </c>
      <c r="I54" s="89">
        <f t="shared" si="7"/>
        <v>0</v>
      </c>
      <c r="J54" s="89">
        <f t="shared" si="3"/>
        <v>0</v>
      </c>
    </row>
    <row r="55" spans="1:10" ht="10.5" customHeight="1">
      <c r="A55" s="103" t="s">
        <v>268</v>
      </c>
      <c r="B55" s="90">
        <v>0</v>
      </c>
      <c r="C55" s="104">
        <v>90</v>
      </c>
      <c r="D55" s="92" t="s">
        <v>267</v>
      </c>
      <c r="E55" s="93">
        <f>(B55*0.5*0.5/27)*C55</f>
        <v>0</v>
      </c>
      <c r="F55" s="87">
        <v>0.25</v>
      </c>
      <c r="G55" s="92" t="s">
        <v>267</v>
      </c>
      <c r="H55" s="95">
        <f t="shared" si="8"/>
        <v>0</v>
      </c>
      <c r="I55" s="89">
        <f t="shared" si="7"/>
        <v>0</v>
      </c>
      <c r="J55" s="89">
        <f t="shared" si="3"/>
        <v>0</v>
      </c>
    </row>
    <row r="56" spans="1:10" ht="10.5" customHeight="1">
      <c r="A56" s="86" t="s">
        <v>269</v>
      </c>
      <c r="B56" s="90">
        <v>0</v>
      </c>
      <c r="C56" s="91">
        <v>500</v>
      </c>
      <c r="D56" s="92" t="s">
        <v>1</v>
      </c>
      <c r="E56" s="93">
        <f>(B56/27)*C56</f>
        <v>0</v>
      </c>
      <c r="F56" s="105">
        <v>4</v>
      </c>
      <c r="G56" s="92" t="s">
        <v>1</v>
      </c>
      <c r="H56" s="95">
        <f t="shared" si="8"/>
        <v>0</v>
      </c>
      <c r="I56" s="89">
        <f t="shared" si="7"/>
        <v>0</v>
      </c>
      <c r="J56" s="89">
        <f t="shared" si="3"/>
        <v>0</v>
      </c>
    </row>
    <row r="57" spans="1:10">
      <c r="A57" s="107" t="s">
        <v>272</v>
      </c>
      <c r="B57" s="90">
        <v>0</v>
      </c>
      <c r="C57" s="106">
        <v>38</v>
      </c>
      <c r="D57" s="92" t="s">
        <v>271</v>
      </c>
      <c r="E57" s="93">
        <f>B57*C57</f>
        <v>0</v>
      </c>
      <c r="F57" s="105">
        <v>0</v>
      </c>
      <c r="G57" s="92" t="s">
        <v>271</v>
      </c>
      <c r="H57" s="95">
        <f t="shared" si="8"/>
        <v>0</v>
      </c>
      <c r="I57" s="89">
        <f t="shared" si="7"/>
        <v>0</v>
      </c>
      <c r="J57" s="89">
        <f t="shared" si="3"/>
        <v>0</v>
      </c>
    </row>
    <row r="58" spans="1:10">
      <c r="A58" s="86" t="s">
        <v>273</v>
      </c>
      <c r="B58" s="90">
        <v>0</v>
      </c>
      <c r="C58" s="106">
        <v>38</v>
      </c>
      <c r="D58" s="92" t="s">
        <v>271</v>
      </c>
      <c r="E58" s="93">
        <f>B58*C58</f>
        <v>0</v>
      </c>
      <c r="F58" s="105">
        <v>1</v>
      </c>
      <c r="G58" s="92" t="s">
        <v>271</v>
      </c>
      <c r="H58" s="95">
        <f t="shared" si="8"/>
        <v>0</v>
      </c>
      <c r="I58" s="89">
        <f t="shared" si="7"/>
        <v>0</v>
      </c>
      <c r="J58" s="89">
        <f t="shared" si="3"/>
        <v>0</v>
      </c>
    </row>
    <row r="59" spans="1:10">
      <c r="A59" s="107" t="s">
        <v>274</v>
      </c>
      <c r="B59" s="90"/>
      <c r="C59" s="106">
        <v>2.79</v>
      </c>
      <c r="D59" s="92" t="s">
        <v>231</v>
      </c>
      <c r="E59" s="93">
        <f>B59*C59</f>
        <v>0</v>
      </c>
      <c r="F59" s="105">
        <v>0.25</v>
      </c>
      <c r="G59" s="92" t="s">
        <v>231</v>
      </c>
      <c r="H59" s="95">
        <f t="shared" si="8"/>
        <v>0</v>
      </c>
      <c r="I59" s="89">
        <f t="shared" si="7"/>
        <v>0</v>
      </c>
      <c r="J59" s="89">
        <f t="shared" si="3"/>
        <v>0</v>
      </c>
    </row>
    <row r="60" spans="1:10">
      <c r="A60" s="107" t="s">
        <v>275</v>
      </c>
      <c r="B60" s="90">
        <v>0</v>
      </c>
      <c r="C60" s="91">
        <v>1000</v>
      </c>
      <c r="D60" s="92" t="s">
        <v>270</v>
      </c>
      <c r="E60" s="108">
        <f>B60*C60</f>
        <v>0</v>
      </c>
      <c r="F60" s="105">
        <v>18</v>
      </c>
      <c r="G60" s="92" t="s">
        <v>270</v>
      </c>
      <c r="H60" s="109">
        <f t="shared" si="8"/>
        <v>0</v>
      </c>
      <c r="I60" s="89">
        <f t="shared" si="7"/>
        <v>0</v>
      </c>
      <c r="J60" s="89">
        <f t="shared" si="3"/>
        <v>0</v>
      </c>
    </row>
    <row r="61" spans="1:10">
      <c r="A61" s="86" t="s">
        <v>2</v>
      </c>
      <c r="B61" s="87"/>
      <c r="C61" s="87"/>
      <c r="D61" s="87"/>
      <c r="E61" s="93">
        <f>SUM(E6:E60)</f>
        <v>0</v>
      </c>
      <c r="F61" s="87"/>
      <c r="G61" s="87"/>
      <c r="H61" s="95">
        <f>SUM(H6:H60)</f>
        <v>0</v>
      </c>
      <c r="I61" s="89"/>
      <c r="J61" s="89"/>
    </row>
    <row r="62" spans="1:10">
      <c r="A62" s="86"/>
      <c r="B62" s="87"/>
      <c r="C62" s="110">
        <v>0.10249999999999999</v>
      </c>
      <c r="D62" s="87" t="s">
        <v>276</v>
      </c>
      <c r="E62" s="93">
        <f>SUM(E61)*C62</f>
        <v>0</v>
      </c>
      <c r="F62" s="111" t="s">
        <v>277</v>
      </c>
      <c r="G62" s="87" t="s">
        <v>278</v>
      </c>
      <c r="H62" s="112">
        <v>79</v>
      </c>
      <c r="I62" s="93"/>
      <c r="J62" s="93"/>
    </row>
    <row r="63" spans="1:10" ht="12" thickBot="1">
      <c r="A63" s="113"/>
      <c r="B63" s="114"/>
      <c r="C63" s="115"/>
      <c r="D63" s="116"/>
      <c r="E63" s="117">
        <f>SUM(E61:E62)</f>
        <v>0</v>
      </c>
      <c r="F63" s="114"/>
      <c r="G63" s="114"/>
      <c r="H63" s="118">
        <f>H61*H62</f>
        <v>0</v>
      </c>
      <c r="I63" s="93">
        <f>SUM(I4:I62)</f>
        <v>0</v>
      </c>
      <c r="J63" s="93"/>
    </row>
    <row r="64" spans="1:10" ht="12.75" customHeight="1">
      <c r="A64" s="119" t="s">
        <v>13</v>
      </c>
      <c r="B64" s="120"/>
      <c r="C64" s="121">
        <f>E63</f>
        <v>0</v>
      </c>
      <c r="D64" s="192" t="s">
        <v>279</v>
      </c>
      <c r="E64" s="193"/>
      <c r="F64" s="193"/>
      <c r="G64" s="193"/>
      <c r="H64" s="193"/>
      <c r="I64" s="193"/>
      <c r="J64" s="193"/>
    </row>
    <row r="65" spans="1:10" ht="12.75" customHeight="1">
      <c r="A65" s="86" t="s">
        <v>14</v>
      </c>
      <c r="B65" s="87"/>
      <c r="C65" s="112">
        <f>H63</f>
        <v>0</v>
      </c>
      <c r="D65" s="194"/>
      <c r="E65" s="193"/>
      <c r="F65" s="193"/>
      <c r="G65" s="193"/>
      <c r="H65" s="193"/>
      <c r="I65" s="193"/>
      <c r="J65" s="193"/>
    </row>
    <row r="66" spans="1:10" ht="12.75" customHeight="1">
      <c r="A66" s="86" t="s">
        <v>280</v>
      </c>
      <c r="B66" s="87"/>
      <c r="C66" s="122">
        <f>SUM(C64:C65)</f>
        <v>0</v>
      </c>
      <c r="D66" s="194"/>
      <c r="E66" s="193"/>
      <c r="F66" s="193"/>
      <c r="G66" s="193"/>
      <c r="H66" s="193"/>
      <c r="I66" s="193"/>
      <c r="J66" s="193"/>
    </row>
    <row r="67" spans="1:10" ht="12.75" customHeight="1">
      <c r="A67" s="86" t="s">
        <v>281</v>
      </c>
      <c r="B67" s="123">
        <v>0</v>
      </c>
      <c r="C67" s="124">
        <f>C66*B67</f>
        <v>0</v>
      </c>
      <c r="D67" s="194"/>
      <c r="E67" s="193"/>
      <c r="F67" s="193"/>
      <c r="G67" s="193"/>
      <c r="H67" s="193"/>
      <c r="I67" s="193"/>
      <c r="J67" s="193"/>
    </row>
    <row r="68" spans="1:10" ht="12.75" customHeight="1">
      <c r="A68" s="86" t="s">
        <v>282</v>
      </c>
      <c r="B68" s="87"/>
      <c r="C68" s="112">
        <f>SUM(C66:C67)</f>
        <v>0</v>
      </c>
      <c r="D68" s="194"/>
      <c r="E68" s="193"/>
      <c r="F68" s="193"/>
      <c r="G68" s="193"/>
      <c r="H68" s="193"/>
      <c r="I68" s="193"/>
      <c r="J68" s="193"/>
    </row>
    <row r="69" spans="1:10" ht="12.75" customHeight="1">
      <c r="A69" s="86" t="s">
        <v>283</v>
      </c>
      <c r="B69" s="87"/>
      <c r="C69" s="112">
        <v>0</v>
      </c>
      <c r="D69" s="194"/>
      <c r="E69" s="193"/>
      <c r="F69" s="193"/>
      <c r="G69" s="193"/>
      <c r="H69" s="193"/>
      <c r="I69" s="193"/>
      <c r="J69" s="193"/>
    </row>
    <row r="70" spans="1:10" ht="12.75" customHeight="1">
      <c r="A70" s="86" t="s">
        <v>284</v>
      </c>
      <c r="B70" s="87"/>
      <c r="C70" s="124">
        <v>0</v>
      </c>
      <c r="D70" s="194"/>
      <c r="E70" s="193"/>
      <c r="F70" s="193"/>
      <c r="G70" s="193"/>
      <c r="H70" s="193"/>
      <c r="I70" s="193"/>
      <c r="J70" s="193"/>
    </row>
    <row r="71" spans="1:10" ht="12.75" customHeight="1">
      <c r="A71" s="86" t="s">
        <v>282</v>
      </c>
      <c r="B71" s="87"/>
      <c r="C71" s="112">
        <f>SUM(C68:C70)</f>
        <v>0</v>
      </c>
      <c r="D71" s="194"/>
      <c r="E71" s="193"/>
      <c r="F71" s="193"/>
      <c r="G71" s="193"/>
      <c r="H71" s="193"/>
      <c r="I71" s="193"/>
      <c r="J71" s="193"/>
    </row>
    <row r="72" spans="1:10" ht="12.75" customHeight="1">
      <c r="A72" s="86" t="s">
        <v>285</v>
      </c>
      <c r="B72" s="123">
        <v>0</v>
      </c>
      <c r="C72" s="124">
        <f>C71*B72</f>
        <v>0</v>
      </c>
      <c r="D72" s="194"/>
      <c r="E72" s="193"/>
      <c r="F72" s="193"/>
      <c r="G72" s="193"/>
      <c r="H72" s="193"/>
      <c r="I72" s="193"/>
      <c r="J72" s="193"/>
    </row>
    <row r="73" spans="1:10" ht="12.75" customHeight="1">
      <c r="A73" s="86" t="s">
        <v>286</v>
      </c>
      <c r="B73" s="87"/>
      <c r="C73" s="112">
        <f>SUM(C71:C72)</f>
        <v>0</v>
      </c>
      <c r="D73" s="194"/>
      <c r="E73" s="193"/>
      <c r="F73" s="193"/>
      <c r="G73" s="193"/>
      <c r="H73" s="193"/>
      <c r="I73" s="193"/>
      <c r="J73" s="193"/>
    </row>
    <row r="74" spans="1:10" ht="13.5" customHeight="1" thickBot="1">
      <c r="A74" s="86" t="s">
        <v>289</v>
      </c>
      <c r="B74" s="87"/>
      <c r="C74" s="125"/>
      <c r="D74" s="194"/>
      <c r="E74" s="193"/>
      <c r="F74" s="193"/>
      <c r="G74" s="193"/>
      <c r="H74" s="193"/>
      <c r="I74" s="193"/>
      <c r="J74" s="193"/>
    </row>
    <row r="75" spans="1:10" ht="13.5" customHeight="1" thickBot="1">
      <c r="A75" s="113" t="s">
        <v>287</v>
      </c>
      <c r="B75" s="114"/>
      <c r="C75" s="126" t="e">
        <f>C73/C74</f>
        <v>#DIV/0!</v>
      </c>
      <c r="D75" s="195"/>
      <c r="E75" s="196"/>
      <c r="F75" s="196"/>
      <c r="G75" s="196"/>
      <c r="H75" s="196"/>
      <c r="I75" s="196"/>
      <c r="J75" s="196"/>
    </row>
  </sheetData>
  <mergeCells count="2">
    <mergeCell ref="A1:J1"/>
    <mergeCell ref="D64:J75"/>
  </mergeCells>
  <printOptions horizontalCentered="1" verticalCentered="1" gridLines="1"/>
  <pageMargins left="0.25" right="0.25" top="0.32" bottom="0.25" header="0.25" footer="0.25"/>
  <pageSetup scale="91" orientation="portrait" horizontalDpi="4294967292" verticalDpi="4294967292" r:id="rId1"/>
  <headerFooter alignWithMargins="0">
    <oddFooter>&amp;CPage &amp;P&amp;R&amp;D   &amp;T   &amp;F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O83"/>
  <sheetViews>
    <sheetView showGridLines="0" showZeros="0" tabSelected="1" topLeftCell="A25" zoomScale="70" zoomScaleNormal="70" workbookViewId="0">
      <selection activeCell="A74" sqref="A74"/>
    </sheetView>
  </sheetViews>
  <sheetFormatPr baseColWidth="10" defaultColWidth="9" defaultRowHeight="13"/>
  <cols>
    <col min="1" max="1" width="5.3984375" style="41" customWidth="1"/>
    <col min="2" max="2" width="32.3984375" customWidth="1"/>
    <col min="3" max="3" width="29.3984375" customWidth="1"/>
    <col min="4" max="4" width="9.59765625" customWidth="1"/>
    <col min="5" max="5" width="5.796875" customWidth="1"/>
    <col min="6" max="6" width="15.3984375" customWidth="1"/>
    <col min="7" max="7" width="16.3984375" customWidth="1"/>
    <col min="8" max="8" width="8.3984375" customWidth="1"/>
  </cols>
  <sheetData>
    <row r="1" spans="1:6" ht="15" customHeight="1"/>
    <row r="2" spans="1:6" ht="15" customHeight="1"/>
    <row r="3" spans="1:6" ht="15" customHeight="1">
      <c r="E3" s="76"/>
    </row>
    <row r="4" spans="1:6" ht="15" customHeight="1">
      <c r="E4" s="76" t="s">
        <v>214</v>
      </c>
    </row>
    <row r="5" spans="1:6" ht="15" customHeight="1">
      <c r="E5" s="76" t="s">
        <v>215</v>
      </c>
    </row>
    <row r="6" spans="1:6" ht="15" customHeight="1">
      <c r="E6" s="76" t="s">
        <v>213</v>
      </c>
    </row>
    <row r="7" spans="1:6" ht="15" customHeight="1"/>
    <row r="8" spans="1:6">
      <c r="E8" s="197" t="str">
        <f>basebid!F2</f>
        <v>Todays Date</v>
      </c>
      <c r="F8" s="197"/>
    </row>
    <row r="9" spans="1:6" ht="3.75" customHeight="1">
      <c r="A9"/>
    </row>
    <row r="10" spans="1:6">
      <c r="A10" s="47" t="str">
        <f>basebid!A5</f>
        <v>Contact Name</v>
      </c>
      <c r="E10" t="s">
        <v>26</v>
      </c>
      <c r="F10" s="12" t="str">
        <f>basebid!A2</f>
        <v>Elevator/Lobby/Corridors &amp; Vacant Suite 3450</v>
      </c>
    </row>
    <row r="11" spans="1:6">
      <c r="A11" s="47" t="str">
        <f>basebid!A4</f>
        <v>G.C.</v>
      </c>
      <c r="F11" t="str">
        <f>basebid!A3</f>
        <v xml:space="preserve">120 N LaSalle </v>
      </c>
    </row>
    <row r="12" spans="1:6">
      <c r="A12" t="str">
        <f>basebid!A6</f>
        <v>Telephone  - Fax</v>
      </c>
      <c r="E12" t="s">
        <v>138</v>
      </c>
      <c r="F12" t="str">
        <f>basebid!D2</f>
        <v>KM05</v>
      </c>
    </row>
    <row r="13" spans="1:6" ht="3.75" customHeight="1">
      <c r="A13"/>
    </row>
    <row r="14" spans="1:6">
      <c r="A14" s="48" t="s">
        <v>106</v>
      </c>
    </row>
    <row r="15" spans="1:6">
      <c r="A15" s="48" t="s">
        <v>152</v>
      </c>
    </row>
    <row r="16" spans="1:6" ht="9.75" customHeight="1"/>
    <row r="17" spans="1:7">
      <c r="A17" s="39" t="s">
        <v>21</v>
      </c>
    </row>
    <row r="18" spans="1:7" ht="6" customHeight="1">
      <c r="A18" s="46"/>
      <c r="B18" s="39"/>
      <c r="G18" s="39"/>
    </row>
    <row r="19" spans="1:7">
      <c r="A19" s="46">
        <f>-basebid!C11</f>
        <v>0</v>
      </c>
      <c r="B19" s="12" t="str">
        <f>basebid!A11</f>
        <v>TEMP POWER</v>
      </c>
      <c r="D19" s="46">
        <f>-basebid!C159</f>
        <v>0</v>
      </c>
      <c r="E19" s="12" t="str">
        <f>basebid!A159</f>
        <v>MECHANICAL CONNECTIONS</v>
      </c>
      <c r="F19" s="41"/>
      <c r="G19" s="39"/>
    </row>
    <row r="20" spans="1:7">
      <c r="A20" s="46">
        <f>-basebid!C12</f>
        <v>0</v>
      </c>
      <c r="B20" s="166" t="str">
        <f>basebid!A12</f>
        <v xml:space="preserve">Temp power from ComEd permanent power </v>
      </c>
      <c r="D20" s="46">
        <f>-basebid!C160</f>
        <v>0</v>
      </c>
      <c r="E20" s="166" t="str">
        <f>basebid!A160</f>
        <v>Make Up Air Units - gas (warehouse)</v>
      </c>
      <c r="F20" s="167"/>
      <c r="G20" s="12"/>
    </row>
    <row r="21" spans="1:7">
      <c r="A21" s="46">
        <f>-basebid!C13</f>
        <v>0</v>
      </c>
      <c r="B21" s="166" t="str">
        <f>basebid!A13</f>
        <v>Hook up of construction trailer</v>
      </c>
      <c r="D21" s="46">
        <f>-basebid!C161</f>
        <v>0</v>
      </c>
      <c r="E21" s="166" t="str">
        <f>basebid!A161</f>
        <v>Roof Top Unit - gas (office)</v>
      </c>
      <c r="F21" s="168"/>
      <c r="G21" s="39"/>
    </row>
    <row r="22" spans="1:7">
      <c r="A22" s="46">
        <f>-basebid!C14</f>
        <v>0</v>
      </c>
      <c r="B22" s="166">
        <f>basebid!A14</f>
        <v>0</v>
      </c>
      <c r="D22" s="46">
        <f>-basebid!C162</f>
        <v>0</v>
      </c>
      <c r="E22" s="166" t="str">
        <f>basebid!A162</f>
        <v>Electric water heaters</v>
      </c>
      <c r="F22" s="167"/>
      <c r="G22" s="39"/>
    </row>
    <row r="23" spans="1:7">
      <c r="A23" s="46">
        <f>-basebid!C15</f>
        <v>0</v>
      </c>
      <c r="B23" s="166" t="str">
        <f>basebid!A15</f>
        <v>ELECTRICAL SERVICE &amp; DISTRIBUTION</v>
      </c>
      <c r="D23" s="46">
        <f>-basebid!C163</f>
        <v>0</v>
      </c>
      <c r="E23" s="166" t="str">
        <f>basebid!A163</f>
        <v>200 Amp Fire pump w/ 30' feed and meter</v>
      </c>
      <c r="F23" s="167"/>
      <c r="G23" s="39"/>
    </row>
    <row r="24" spans="1:7">
      <c r="A24" s="46">
        <f>-basebid!C16</f>
        <v>0</v>
      </c>
      <c r="B24" s="166" t="str">
        <f>basebid!A16</f>
        <v>ComEd pad</v>
      </c>
      <c r="D24" s="46">
        <f>-basebid!C164</f>
        <v>0</v>
      </c>
      <c r="E24" s="166" t="str">
        <f>basebid!A164</f>
        <v>Jockey pump</v>
      </c>
      <c r="F24" s="167"/>
      <c r="G24" s="12"/>
    </row>
    <row r="25" spans="1:7">
      <c r="A25" s="46">
        <f>-basebid!C17</f>
        <v>0</v>
      </c>
      <c r="B25" s="166" t="str">
        <f>basebid!A17</f>
        <v>Rework existing panel for new loads</v>
      </c>
      <c r="D25" s="46">
        <f>-basebid!C165</f>
        <v>0</v>
      </c>
      <c r="E25" s="166" t="str">
        <f>basebid!A165</f>
        <v>Hydraulic elevator</v>
      </c>
      <c r="F25" s="168"/>
      <c r="G25" s="39"/>
    </row>
    <row r="26" spans="1:7">
      <c r="A26" s="46">
        <f>-basebid!C18</f>
        <v>0</v>
      </c>
      <c r="B26" s="166" t="str">
        <f>basebid!A18</f>
        <v>4000A., 277/480V., 3PH. Main switchboard w/ meter</v>
      </c>
      <c r="D26" s="46">
        <f>-basebid!C166</f>
        <v>0</v>
      </c>
      <c r="E26" s="166" t="str">
        <f>basebid!A166</f>
        <v>Exhaust Fan with Interlock Conduit</v>
      </c>
      <c r="F26" s="167"/>
      <c r="G26" s="39"/>
    </row>
    <row r="27" spans="1:7">
      <c r="A27" s="46">
        <f>-basebid!C19</f>
        <v>0</v>
      </c>
      <c r="B27" s="166">
        <f>basebid!A19</f>
        <v>0</v>
      </c>
      <c r="D27" s="46">
        <f>-basebid!C167</f>
        <v>0</v>
      </c>
      <c r="E27" s="166" t="str">
        <f>basebid!A167</f>
        <v>Unit Heater (gas)</v>
      </c>
      <c r="F27" s="167"/>
      <c r="G27" s="39"/>
    </row>
    <row r="28" spans="1:7">
      <c r="A28" s="46" t="e">
        <f>-basebid!#REF!</f>
        <v>#REF!</v>
      </c>
      <c r="B28" s="166" t="e">
        <f>basebid!#REF!</f>
        <v>#REF!</v>
      </c>
      <c r="D28" s="46">
        <f>-basebid!C168</f>
        <v>0</v>
      </c>
      <c r="E28" s="166" t="str">
        <f>basebid!A168</f>
        <v>Electric Wall heater (FBO)</v>
      </c>
      <c r="F28" s="167"/>
      <c r="G28" s="12"/>
    </row>
    <row r="29" spans="1:7">
      <c r="A29" s="46">
        <f>-basebid!C21</f>
        <v>0</v>
      </c>
      <c r="B29" s="166" t="str">
        <f>basebid!A21</f>
        <v>3000A., 277/480V., 3PH. Main switchboard w/ meter</v>
      </c>
      <c r="D29" s="46">
        <f>-basebid!C169</f>
        <v>0</v>
      </c>
      <c r="E29" s="166" t="str">
        <f>basebid!A169</f>
        <v>Baseboard Heater (FBO)</v>
      </c>
      <c r="F29" s="167"/>
      <c r="G29" s="12"/>
    </row>
    <row r="30" spans="1:7">
      <c r="A30" s="46">
        <f>-basebid!C22</f>
        <v>0</v>
      </c>
      <c r="B30" s="166">
        <f>basebid!A22</f>
        <v>0</v>
      </c>
      <c r="D30" s="46">
        <f>-basebid!C170</f>
        <v>0</v>
      </c>
      <c r="E30" s="166" t="str">
        <f>basebid!A170</f>
        <v>Toilet Exhaust (FBO)</v>
      </c>
      <c r="F30" s="167"/>
      <c r="G30" s="12"/>
    </row>
    <row r="31" spans="1:7">
      <c r="A31" s="46" t="e">
        <f>-basebid!#REF!</f>
        <v>#REF!</v>
      </c>
      <c r="B31" s="166" t="e">
        <f>basebid!#REF!</f>
        <v>#REF!</v>
      </c>
      <c r="D31" s="46">
        <f>-basebid!C171</f>
        <v>0</v>
      </c>
      <c r="E31" s="166" t="str">
        <f>basebid!A171</f>
        <v>Sump Pump</v>
      </c>
      <c r="F31" s="167"/>
      <c r="G31" s="12"/>
    </row>
    <row r="32" spans="1:7">
      <c r="A32" s="46">
        <f>-basebid!C24</f>
        <v>0</v>
      </c>
      <c r="B32" s="166" t="str">
        <f>basebid!A24</f>
        <v>2500A., 277/480V., 3PH. Main switchboard w/ meter</v>
      </c>
      <c r="D32" s="46">
        <f>-basebid!C172</f>
        <v>0</v>
      </c>
      <c r="E32" s="166" t="str">
        <f>basebid!A172</f>
        <v>30A Equipment connection</v>
      </c>
      <c r="F32" s="167"/>
      <c r="G32" s="12"/>
    </row>
    <row r="33" spans="1:7">
      <c r="A33" s="46">
        <f>-basebid!C25</f>
        <v>0</v>
      </c>
      <c r="B33" s="166">
        <f>basebid!A25</f>
        <v>0</v>
      </c>
      <c r="D33" s="46">
        <f>-basebid!C173</f>
        <v>0</v>
      </c>
      <c r="E33" s="166">
        <f>basebid!A173</f>
        <v>0</v>
      </c>
      <c r="F33" s="167"/>
      <c r="G33" s="12"/>
    </row>
    <row r="34" spans="1:7">
      <c r="A34" s="46" t="e">
        <f>-basebid!#REF!</f>
        <v>#REF!</v>
      </c>
      <c r="B34" s="166" t="e">
        <f>basebid!#REF!</f>
        <v>#REF!</v>
      </c>
      <c r="D34" s="46">
        <f>-basebid!C174</f>
        <v>0</v>
      </c>
      <c r="E34" s="166" t="str">
        <f>basebid!A174</f>
        <v>40A Equipment connection</v>
      </c>
      <c r="F34" s="167"/>
      <c r="G34" s="12"/>
    </row>
    <row r="35" spans="1:7">
      <c r="A35" s="46">
        <f>-basebid!C27</f>
        <v>0</v>
      </c>
      <c r="B35" s="166" t="str">
        <f>basebid!A27</f>
        <v>2000A., 277/480V., 3PH. Main switchboard w/ meter</v>
      </c>
      <c r="D35" s="46">
        <f>-basebid!C175</f>
        <v>0</v>
      </c>
      <c r="E35" s="166">
        <f>basebid!A175</f>
        <v>0</v>
      </c>
      <c r="F35" s="167"/>
      <c r="G35" s="12"/>
    </row>
    <row r="36" spans="1:7">
      <c r="A36" s="46">
        <f>-basebid!C28</f>
        <v>0</v>
      </c>
      <c r="B36" s="166">
        <f>basebid!A28</f>
        <v>0</v>
      </c>
      <c r="D36" s="46">
        <f>-basebid!C176</f>
        <v>0</v>
      </c>
      <c r="E36" s="166" t="str">
        <f>basebid!A176</f>
        <v>60A Equipment connection</v>
      </c>
      <c r="F36" s="167"/>
      <c r="G36" s="12"/>
    </row>
    <row r="37" spans="1:7">
      <c r="A37" s="46" t="e">
        <f>-basebid!#REF!</f>
        <v>#REF!</v>
      </c>
      <c r="B37" s="166" t="e">
        <f>basebid!#REF!</f>
        <v>#REF!</v>
      </c>
      <c r="D37" s="46">
        <f>-basebid!C177</f>
        <v>0</v>
      </c>
      <c r="E37" s="166">
        <f>basebid!A177</f>
        <v>0</v>
      </c>
      <c r="F37" s="167"/>
      <c r="G37" s="12"/>
    </row>
    <row r="38" spans="1:7">
      <c r="A38" s="46">
        <f>-basebid!C30</f>
        <v>0</v>
      </c>
      <c r="B38" s="166" t="str">
        <f>basebid!A30</f>
        <v>1600A., 277/480V., 3PH. Main switchboard w/ meter</v>
      </c>
      <c r="D38" s="46">
        <f>-basebid!C178</f>
        <v>0</v>
      </c>
      <c r="E38" s="166" t="str">
        <f>basebid!A178</f>
        <v>100A Equipment connection</v>
      </c>
      <c r="F38" s="168"/>
      <c r="G38" s="39"/>
    </row>
    <row r="39" spans="1:7">
      <c r="A39" s="46">
        <f>-basebid!C31</f>
        <v>0</v>
      </c>
      <c r="B39" s="166">
        <f>basebid!A31</f>
        <v>0</v>
      </c>
      <c r="D39" s="46">
        <f>-basebid!C179</f>
        <v>0</v>
      </c>
      <c r="E39" s="166">
        <f>basebid!A179</f>
        <v>0</v>
      </c>
      <c r="F39" s="167"/>
      <c r="G39" s="39"/>
    </row>
    <row r="40" spans="1:7">
      <c r="A40" s="46" t="e">
        <f>-basebid!#REF!</f>
        <v>#REF!</v>
      </c>
      <c r="B40" s="166" t="e">
        <f>basebid!#REF!</f>
        <v>#REF!</v>
      </c>
      <c r="D40" s="46">
        <f>-basebid!C180</f>
        <v>0</v>
      </c>
      <c r="E40" s="166" t="str">
        <f>basebid!A180</f>
        <v>200A Equipment connection</v>
      </c>
      <c r="F40" s="167"/>
      <c r="G40" s="12"/>
    </row>
    <row r="41" spans="1:7">
      <c r="A41" s="46">
        <f>-basebid!C33</f>
        <v>0</v>
      </c>
      <c r="B41" s="166" t="str">
        <f>basebid!A33</f>
        <v>1200A., 277/480V., 3PH. Main distribution board w/ ct/meter</v>
      </c>
      <c r="D41" s="46">
        <f>-basebid!C181</f>
        <v>0</v>
      </c>
      <c r="E41" s="166">
        <f>basebid!A181</f>
        <v>0</v>
      </c>
      <c r="F41" s="168"/>
    </row>
    <row r="42" spans="1:7">
      <c r="A42" s="46">
        <f>-basebid!C34</f>
        <v>0</v>
      </c>
      <c r="B42" s="166">
        <f>basebid!A34</f>
        <v>0</v>
      </c>
      <c r="D42" s="46">
        <f>-basebid!C182</f>
        <v>0</v>
      </c>
      <c r="E42" s="166" t="str">
        <f>basebid!A182</f>
        <v>400A Equipment connection</v>
      </c>
      <c r="F42" s="168"/>
      <c r="G42" s="12"/>
    </row>
    <row r="43" spans="1:7">
      <c r="A43" s="46" t="e">
        <f>-basebid!#REF!</f>
        <v>#REF!</v>
      </c>
      <c r="B43" s="166" t="e">
        <f>basebid!#REF!</f>
        <v>#REF!</v>
      </c>
      <c r="D43" s="46">
        <f>-basebid!C183</f>
        <v>0</v>
      </c>
      <c r="E43" s="166">
        <f>basebid!A183</f>
        <v>0</v>
      </c>
      <c r="F43" s="168"/>
      <c r="G43" s="12"/>
    </row>
    <row r="44" spans="1:7">
      <c r="A44" s="46">
        <f>-basebid!C36</f>
        <v>0</v>
      </c>
      <c r="B44" s="166" t="str">
        <f>basebid!A36</f>
        <v>1000A., 277/480V., 3PH. Main distribution board w/ ct/meter</v>
      </c>
      <c r="D44" s="46">
        <f>-basebid!C184</f>
        <v>0</v>
      </c>
      <c r="E44" s="166" t="str">
        <f>basebid!A184</f>
        <v>600A.Equipment connection</v>
      </c>
      <c r="F44" s="168"/>
      <c r="G44" s="12"/>
    </row>
    <row r="45" spans="1:7">
      <c r="A45" s="46">
        <f>-basebid!C37</f>
        <v>0</v>
      </c>
      <c r="B45" s="166">
        <f>basebid!A37</f>
        <v>0</v>
      </c>
      <c r="D45" s="46">
        <f>-basebid!C185</f>
        <v>0</v>
      </c>
      <c r="E45" s="166">
        <f>basebid!A185</f>
        <v>0</v>
      </c>
      <c r="F45" s="168"/>
      <c r="G45" s="12"/>
    </row>
    <row r="46" spans="1:7">
      <c r="A46" s="46" t="e">
        <f>-basebid!#REF!</f>
        <v>#REF!</v>
      </c>
      <c r="B46" s="166" t="e">
        <f>basebid!#REF!</f>
        <v>#REF!</v>
      </c>
      <c r="D46" s="46">
        <f>-basebid!C186</f>
        <v>0</v>
      </c>
      <c r="E46" s="166" t="str">
        <f>basebid!A186</f>
        <v>800A.Equipment connection</v>
      </c>
      <c r="F46" s="168"/>
      <c r="G46" s="12"/>
    </row>
    <row r="47" spans="1:7">
      <c r="A47" s="46">
        <f>-basebid!C39</f>
        <v>0</v>
      </c>
      <c r="B47" s="166" t="str">
        <f>basebid!A39</f>
        <v xml:space="preserve">800A., 277/480V., 3PH. Distribution board w/ feed </v>
      </c>
      <c r="D47" s="46">
        <f>-basebid!C187</f>
        <v>0</v>
      </c>
      <c r="E47" s="166">
        <f>basebid!A187</f>
        <v>0</v>
      </c>
      <c r="F47" s="168"/>
      <c r="G47" s="12"/>
    </row>
    <row r="48" spans="1:7">
      <c r="A48" s="46">
        <f>-basebid!C40</f>
        <v>0</v>
      </c>
      <c r="B48" s="166">
        <f>basebid!A40</f>
        <v>0</v>
      </c>
      <c r="D48" s="46">
        <f>-basebid!C188</f>
        <v>0</v>
      </c>
      <c r="E48" s="166" t="str">
        <f>basebid!A188</f>
        <v>1200A.Equipment connection</v>
      </c>
      <c r="F48" s="168"/>
      <c r="G48" s="12"/>
    </row>
    <row r="49" spans="1:15">
      <c r="A49" s="46"/>
      <c r="B49" s="166"/>
      <c r="D49" s="46">
        <f>-basebid!C189</f>
        <v>0</v>
      </c>
      <c r="E49" s="12">
        <f>basebid!A189</f>
        <v>0</v>
      </c>
      <c r="F49" s="44"/>
      <c r="G49" s="12"/>
    </row>
    <row r="50" spans="1:15">
      <c r="A50" s="46"/>
      <c r="B50" s="12"/>
      <c r="D50" s="46"/>
      <c r="E50" s="39"/>
      <c r="F50" s="44"/>
      <c r="G50" s="12"/>
    </row>
    <row r="51" spans="1:15" ht="12.75" customHeight="1">
      <c r="A51" s="46"/>
      <c r="B51" s="12"/>
      <c r="D51" s="46"/>
      <c r="E51" s="12"/>
      <c r="F51" s="41"/>
      <c r="G51" s="12"/>
    </row>
    <row r="52" spans="1:15" ht="12.75" customHeight="1">
      <c r="A52" s="46"/>
      <c r="B52" s="12"/>
      <c r="D52" s="46"/>
      <c r="E52" s="12"/>
      <c r="F52" s="39"/>
    </row>
    <row r="53" spans="1:15" ht="12.75" customHeight="1">
      <c r="A53" s="45" t="s">
        <v>22</v>
      </c>
      <c r="C53" s="198">
        <f>basebid!D331</f>
        <v>0</v>
      </c>
      <c r="D53" s="198"/>
      <c r="E53" s="12"/>
      <c r="F53" s="39"/>
    </row>
    <row r="54" spans="1:15" ht="12.75" customHeight="1">
      <c r="A54" s="49"/>
      <c r="B54" s="12"/>
      <c r="D54" s="46"/>
      <c r="E54" s="12"/>
      <c r="F54" s="39"/>
    </row>
    <row r="55" spans="1:15" ht="12.75" customHeight="1">
      <c r="A55" s="12" t="s">
        <v>23</v>
      </c>
      <c r="E55" s="41"/>
      <c r="G55" s="40"/>
    </row>
    <row r="56" spans="1:15" ht="12.75" customHeight="1">
      <c r="A56" s="50" t="s">
        <v>42</v>
      </c>
      <c r="B56" t="s">
        <v>49</v>
      </c>
      <c r="E56" s="41"/>
    </row>
    <row r="57" spans="1:15" ht="12.75" customHeight="1">
      <c r="A57" s="50" t="s">
        <v>42</v>
      </c>
      <c r="B57" t="s">
        <v>54</v>
      </c>
      <c r="E57" s="41"/>
    </row>
    <row r="58" spans="1:15">
      <c r="A58" s="50" t="s">
        <v>42</v>
      </c>
      <c r="B58" t="s">
        <v>50</v>
      </c>
      <c r="E58" s="41"/>
    </row>
    <row r="59" spans="1:15">
      <c r="A59" s="50" t="s">
        <v>42</v>
      </c>
      <c r="B59" t="s">
        <v>51</v>
      </c>
      <c r="E59" s="41"/>
      <c r="G59" s="50"/>
      <c r="H59" s="48"/>
      <c r="I59" s="51"/>
      <c r="J59" s="52"/>
      <c r="K59" s="51"/>
      <c r="L59" s="48"/>
      <c r="M59" s="53"/>
      <c r="N59" s="53"/>
      <c r="O59" s="53"/>
    </row>
    <row r="60" spans="1:15">
      <c r="A60" s="50" t="s">
        <v>42</v>
      </c>
      <c r="B60" t="s">
        <v>52</v>
      </c>
      <c r="E60" s="41"/>
      <c r="G60" s="50"/>
      <c r="H60" s="48"/>
      <c r="I60" s="51"/>
      <c r="J60" s="52"/>
      <c r="K60" s="53"/>
      <c r="L60" s="48"/>
      <c r="M60" s="53"/>
      <c r="N60" s="53"/>
      <c r="O60" s="53"/>
    </row>
    <row r="61" spans="1:15">
      <c r="A61" s="50" t="s">
        <v>42</v>
      </c>
      <c r="B61" t="s">
        <v>61</v>
      </c>
      <c r="E61" s="41"/>
      <c r="G61" s="50"/>
      <c r="H61" s="48"/>
      <c r="I61" s="51"/>
      <c r="J61" s="52"/>
      <c r="K61" s="53"/>
      <c r="L61" s="48"/>
      <c r="M61" s="53"/>
      <c r="N61" s="53"/>
      <c r="O61" s="53"/>
    </row>
    <row r="62" spans="1:15">
      <c r="A62" s="50" t="s">
        <v>42</v>
      </c>
      <c r="B62" t="s">
        <v>53</v>
      </c>
      <c r="E62" s="41"/>
      <c r="G62" s="50"/>
      <c r="H62" s="48"/>
      <c r="I62" s="51"/>
      <c r="J62" s="52"/>
      <c r="K62" s="53"/>
      <c r="L62" s="48"/>
      <c r="M62" s="53"/>
      <c r="N62" s="53"/>
      <c r="O62" s="53"/>
    </row>
    <row r="63" spans="1:15">
      <c r="A63" s="50" t="s">
        <v>42</v>
      </c>
      <c r="B63" s="48" t="s">
        <v>43</v>
      </c>
      <c r="E63" s="41"/>
      <c r="G63" s="50"/>
      <c r="H63" s="48"/>
      <c r="I63" s="51"/>
      <c r="J63" s="52"/>
      <c r="K63" s="53"/>
      <c r="L63" s="48"/>
      <c r="M63" s="53"/>
      <c r="N63" s="53"/>
      <c r="O63" s="53"/>
    </row>
    <row r="64" spans="1:15">
      <c r="A64" s="50" t="s">
        <v>42</v>
      </c>
      <c r="B64" s="48" t="s">
        <v>44</v>
      </c>
      <c r="E64" s="41"/>
      <c r="G64" s="50"/>
      <c r="H64" s="48"/>
      <c r="I64" s="51"/>
      <c r="J64" s="52"/>
      <c r="K64" s="53"/>
      <c r="L64" s="48"/>
      <c r="M64" s="53"/>
      <c r="N64" s="53"/>
      <c r="O64" s="53"/>
    </row>
    <row r="65" spans="1:15">
      <c r="A65" s="50" t="s">
        <v>42</v>
      </c>
      <c r="B65" s="48" t="s">
        <v>45</v>
      </c>
      <c r="E65" s="41"/>
      <c r="G65" s="50"/>
      <c r="H65" s="48"/>
      <c r="I65" s="51"/>
      <c r="J65" s="52"/>
      <c r="K65" s="53"/>
      <c r="L65" s="48"/>
      <c r="M65" s="53"/>
      <c r="N65" s="53"/>
      <c r="O65" s="53"/>
    </row>
    <row r="66" spans="1:15">
      <c r="A66" s="50" t="s">
        <v>42</v>
      </c>
      <c r="B66" s="48" t="s">
        <v>46</v>
      </c>
      <c r="E66" s="41"/>
      <c r="G66" s="50"/>
      <c r="H66" s="48"/>
      <c r="I66" s="51"/>
      <c r="J66" s="52"/>
      <c r="K66" s="53"/>
      <c r="L66" s="48"/>
      <c r="M66" s="53"/>
      <c r="N66" s="53"/>
      <c r="O66" s="53"/>
    </row>
    <row r="67" spans="1:15">
      <c r="A67" s="59" t="s">
        <v>42</v>
      </c>
      <c r="B67" s="48" t="s">
        <v>47</v>
      </c>
      <c r="E67" s="41"/>
      <c r="G67" s="50"/>
      <c r="H67" s="48"/>
      <c r="I67" s="51"/>
      <c r="J67" s="52"/>
      <c r="K67" s="53"/>
      <c r="L67" s="48"/>
      <c r="M67" s="53"/>
      <c r="N67" s="53"/>
      <c r="O67" s="53"/>
    </row>
    <row r="68" spans="1:15">
      <c r="A68" s="50" t="s">
        <v>42</v>
      </c>
      <c r="B68" s="48" t="s">
        <v>48</v>
      </c>
      <c r="E68" s="41"/>
      <c r="G68" s="50"/>
      <c r="H68" s="48"/>
      <c r="I68" s="51"/>
      <c r="J68" s="52"/>
      <c r="K68" s="53"/>
      <c r="L68" s="48"/>
      <c r="M68" s="53"/>
      <c r="N68" s="53"/>
      <c r="O68" s="53"/>
    </row>
    <row r="69" spans="1:15">
      <c r="A69" s="50" t="s">
        <v>42</v>
      </c>
      <c r="B69" s="48" t="s">
        <v>538</v>
      </c>
      <c r="E69" s="41"/>
      <c r="G69" s="50"/>
      <c r="H69" s="48"/>
      <c r="I69" s="51"/>
      <c r="J69" s="52"/>
      <c r="K69" s="53"/>
      <c r="L69" s="48"/>
      <c r="M69" s="53"/>
      <c r="N69" s="53"/>
      <c r="O69" s="53"/>
    </row>
    <row r="70" spans="1:15">
      <c r="A70" s="59"/>
      <c r="B70" s="48"/>
      <c r="E70" s="41"/>
      <c r="G70" s="50"/>
      <c r="H70" s="48"/>
      <c r="I70" s="51"/>
      <c r="J70" s="52"/>
      <c r="K70" s="53"/>
      <c r="L70" s="48"/>
      <c r="M70" s="53"/>
      <c r="N70" s="53"/>
      <c r="O70" s="53"/>
    </row>
    <row r="71" spans="1:15">
      <c r="A71" t="s">
        <v>55</v>
      </c>
      <c r="E71" s="41"/>
      <c r="G71" s="50"/>
      <c r="H71" s="48"/>
      <c r="I71" s="51"/>
      <c r="J71" s="52"/>
      <c r="K71" s="53"/>
      <c r="L71" s="48"/>
      <c r="M71" s="53"/>
      <c r="N71" s="53"/>
      <c r="O71" s="53"/>
    </row>
    <row r="72" spans="1:15">
      <c r="A72"/>
      <c r="E72" s="41"/>
      <c r="G72" s="50"/>
      <c r="H72" s="48"/>
      <c r="I72" s="51"/>
      <c r="J72" s="52"/>
      <c r="K72" s="48"/>
      <c r="L72" s="53"/>
      <c r="M72" s="53"/>
      <c r="N72" s="53"/>
      <c r="O72" s="53"/>
    </row>
    <row r="73" spans="1:15">
      <c r="A73"/>
      <c r="E73" s="41"/>
      <c r="G73" s="50"/>
      <c r="H73" s="48"/>
      <c r="I73" s="51"/>
      <c r="J73" s="52"/>
      <c r="K73" s="48"/>
      <c r="L73" s="53"/>
      <c r="M73" s="53"/>
      <c r="N73" s="53"/>
      <c r="O73" s="53"/>
    </row>
    <row r="74" spans="1:15" ht="16">
      <c r="A74" t="s">
        <v>542</v>
      </c>
      <c r="D74" s="45"/>
      <c r="E74" s="12"/>
      <c r="G74" s="50"/>
      <c r="H74" s="48"/>
      <c r="I74" s="51"/>
      <c r="J74" s="54"/>
      <c r="K74" s="55"/>
      <c r="L74" s="53"/>
      <c r="M74" s="53"/>
      <c r="N74" s="53"/>
      <c r="O74" s="53"/>
    </row>
    <row r="75" spans="1:15">
      <c r="A75" t="s">
        <v>107</v>
      </c>
      <c r="G75" s="50"/>
      <c r="H75" s="48"/>
      <c r="I75" s="51"/>
      <c r="J75" s="52"/>
      <c r="K75" s="51"/>
      <c r="L75" s="56"/>
      <c r="M75" s="57"/>
      <c r="N75" s="53"/>
      <c r="O75" s="53"/>
    </row>
    <row r="76" spans="1:15">
      <c r="G76" s="50"/>
      <c r="H76" s="48"/>
      <c r="I76" s="51"/>
      <c r="J76" s="52"/>
      <c r="K76" s="51"/>
      <c r="L76" s="56"/>
      <c r="M76" s="57"/>
      <c r="N76" s="53"/>
      <c r="O76" s="53"/>
    </row>
    <row r="77" spans="1:15">
      <c r="G77" s="50"/>
      <c r="H77" s="48"/>
      <c r="I77" s="50"/>
      <c r="J77" s="52"/>
      <c r="K77" s="48"/>
      <c r="L77" s="52"/>
      <c r="M77" s="53"/>
      <c r="N77" s="50"/>
      <c r="O77" s="58"/>
    </row>
    <row r="78" spans="1:15">
      <c r="G78" s="59"/>
      <c r="H78" s="48"/>
      <c r="I78" s="50"/>
      <c r="J78" s="52"/>
      <c r="K78" s="48"/>
      <c r="L78" s="52"/>
      <c r="M78" s="53"/>
      <c r="N78" s="50"/>
      <c r="O78" s="58"/>
    </row>
    <row r="79" spans="1:15" ht="16">
      <c r="G79" s="50"/>
      <c r="H79" s="48"/>
      <c r="I79" s="60"/>
      <c r="J79" s="52"/>
      <c r="K79" s="48"/>
      <c r="L79" s="52"/>
      <c r="M79" s="53"/>
      <c r="N79" s="50"/>
      <c r="O79" s="58"/>
    </row>
    <row r="80" spans="1:15">
      <c r="I80" s="51"/>
      <c r="J80" s="52"/>
      <c r="K80" s="51"/>
      <c r="L80" s="52"/>
      <c r="M80" s="53"/>
      <c r="N80" s="53"/>
      <c r="O80" s="53"/>
    </row>
    <row r="81" spans="7:15">
      <c r="G81" s="50"/>
      <c r="H81" s="48"/>
      <c r="I81" s="51"/>
      <c r="J81" s="52"/>
      <c r="K81" s="51"/>
      <c r="L81" s="52"/>
      <c r="M81" s="53"/>
      <c r="N81" s="53"/>
      <c r="O81" s="53"/>
    </row>
    <row r="82" spans="7:15">
      <c r="G82" s="50"/>
      <c r="H82" s="48"/>
      <c r="I82" s="61"/>
      <c r="J82" s="52"/>
      <c r="K82" s="51"/>
      <c r="L82" s="52"/>
      <c r="M82" s="53"/>
      <c r="N82" s="53"/>
      <c r="O82" s="53"/>
    </row>
    <row r="83" spans="7:15">
      <c r="G83" s="50"/>
      <c r="H83" s="48"/>
      <c r="I83" s="61"/>
      <c r="J83" s="52"/>
      <c r="K83" s="51"/>
      <c r="L83" s="52"/>
      <c r="M83" s="53"/>
      <c r="N83" s="53"/>
      <c r="O83" s="53"/>
    </row>
  </sheetData>
  <mergeCells count="2">
    <mergeCell ref="E8:F8"/>
    <mergeCell ref="C53:D53"/>
  </mergeCells>
  <phoneticPr fontId="2" type="noConversion"/>
  <printOptions horizontalCentered="1"/>
  <pageMargins left="0.25" right="0.34" top="0.25" bottom="0.25" header="0.25" footer="0.25"/>
  <pageSetup scale="83"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basebid</vt:lpstr>
      <vt:lpstr>FEEDERS</vt:lpstr>
      <vt:lpstr>Copy</vt:lpstr>
      <vt:lpstr>Site</vt:lpstr>
      <vt:lpstr>PROPOSAL</vt:lpstr>
      <vt:lpstr>PROPOSAL!Print_Area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ABCO Electrical Construction and Design</dc:title>
  <dc:subject>Mater Unit Pricing</dc:subject>
  <dc:creator>Kevin Mykytiuk</dc:creator>
  <cp:lastModifiedBy>Collin Velarde</cp:lastModifiedBy>
  <cp:lastPrinted>2021-07-12T14:30:34Z</cp:lastPrinted>
  <dcterms:created xsi:type="dcterms:W3CDTF">1998-03-02T19:30:43Z</dcterms:created>
  <dcterms:modified xsi:type="dcterms:W3CDTF">2025-12-23T18:32:03Z</dcterms:modified>
</cp:coreProperties>
</file>